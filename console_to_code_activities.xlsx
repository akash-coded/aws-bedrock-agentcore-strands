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Client Picker" sheetId="2" state="visible" r:id="rId4"/>
    <sheet name="Model ID Checker" sheetId="3" state="visible" r:id="rId5"/>
    <sheet name="Trace Reader" sheetId="4" state="visible" r:id="rId6"/>
    <sheet name="Loop Cost Sim" sheetId="5" state="visible" r:id="rId7"/>
    <sheet name="Converse Builder" sheetId="6" state="visible" r:id="rId8"/>
    <sheet name="Managed vs Handbuil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1" authorId="0">
      <text>
        <r>
          <rPr>
            <sz val="10"/>
            <rFont val="Arial"/>
            <family val="2"/>
          </rPr>
          <t xml:space="preserve">Placeholder. Put your model's real input+output blended rate from the Bedrock pricing page.</t>
        </r>
      </text>
    </comment>
  </commentList>
</comments>
</file>

<file path=xl/sharedStrings.xml><?xml version="1.0" encoding="utf-8"?>
<sst xmlns="http://schemas.openxmlformats.org/spreadsheetml/2006/main" count="234" uniqueCount="178">
  <si>
    <t xml:space="preserve">IBS AGENTIC AI PRACTITIONER BOOTCAMP · DAY 8 COMPANION</t>
  </si>
  <si>
    <t xml:space="preserve">Console to Code — Activity &amp; Tool Pack</t>
  </si>
  <si>
    <t xml:space="preserve">No typing. Blue cells are dropdowns; grey cells compute. Several sheets double as everyday utilities.</t>
  </si>
  <si>
    <t xml:space="preserve">you pick</t>
  </si>
  <si>
    <t xml:space="preserve">dropdown choice</t>
  </si>
  <si>
    <t xml:space="preserve">computed</t>
  </si>
  <si>
    <t xml:space="preserve">reacts to your choice automatically</t>
  </si>
  <si>
    <t xml:space="preserve">Sheet</t>
  </si>
  <si>
    <t xml:space="preserve">What it does</t>
  </si>
  <si>
    <t xml:space="preserve">Client Picker</t>
  </si>
  <si>
    <t xml:space="preserve">Pick an operation, get the exact boto3 client + plane + one-line call. The #1 time-saver.</t>
  </si>
  <si>
    <t xml:space="preserve">Model ID Checker</t>
  </si>
  <si>
    <t xml:space="preserve">Build the right model id and learn when you need the us. cross-region prefix.</t>
  </si>
  <si>
    <t xml:space="preserve">Trace Reader</t>
  </si>
  <si>
    <t xml:space="preserve">Decode any trace field: THINK / ACT / OBSERVE / FINAL / FAILURE and what to look for.</t>
  </si>
  <si>
    <t xml:space="preserve">Loop Cost Sim</t>
  </si>
  <si>
    <t xml:space="preserve">See turns, stopReason, and token cost — with and without a terminal tool.</t>
  </si>
  <si>
    <t xml:space="preserve">Converse Builder</t>
  </si>
  <si>
    <t xml:space="preserve">Compose a converse() request from dropdowns and read the assembled call.</t>
  </si>
  <si>
    <t xml:space="preserve">Managed vs Handbuilt</t>
  </si>
  <si>
    <t xml:space="preserve">invoke_agent vs your own Converse loop — pick by your needs.</t>
  </si>
  <si>
    <t xml:space="preserve">list_foundation_models</t>
  </si>
  <si>
    <t xml:space="preserve">THE 4 CLIENTS  ·  GET THIS WRONG, LOSE AN HOUR</t>
  </si>
  <si>
    <t xml:space="preserve">get_foundation_model</t>
  </si>
  <si>
    <t xml:space="preserve">Which boto3 client do I need?</t>
  </si>
  <si>
    <t xml:space="preserve">create_guardrail</t>
  </si>
  <si>
    <t xml:space="preserve">converse</t>
  </si>
  <si>
    <t xml:space="preserve">Pick the operation. The correct client, plane, and call appear automatically.</t>
  </si>
  <si>
    <t xml:space="preserve">converse_stream</t>
  </si>
  <si>
    <t xml:space="preserve">invoke_model</t>
  </si>
  <si>
    <t xml:space="preserve">Operation</t>
  </si>
  <si>
    <t xml:space="preserve">invoke_agent</t>
  </si>
  <si>
    <t xml:space="preserve">apply_guardrail</t>
  </si>
  <si>
    <t xml:space="preserve">create_agent</t>
  </si>
  <si>
    <t xml:space="preserve">Client</t>
  </si>
  <si>
    <t xml:space="preserve">Plane</t>
  </si>
  <si>
    <t xml:space="preserve">update_agent</t>
  </si>
  <si>
    <t xml:space="preserve">One-line call</t>
  </si>
  <si>
    <t xml:space="preserve">prepare_agent</t>
  </si>
  <si>
    <t xml:space="preserve">create_agent_action_group</t>
  </si>
  <si>
    <t xml:space="preserve">create_agent_alias</t>
  </si>
  <si>
    <t xml:space="preserve">Rule of thumb:  Build it = bedrock-agent.   Talk to it = bedrock-agent-runtime.</t>
  </si>
  <si>
    <t xml:space="preserve">list_agents</t>
  </si>
  <si>
    <t xml:space="preserve">invoke_agent + return-control</t>
  </si>
  <si>
    <t xml:space="preserve">bedrock</t>
  </si>
  <si>
    <t xml:space="preserve">Control</t>
  </si>
  <si>
    <t xml:space="preserve">bedrock.list_foundation_models()</t>
  </si>
  <si>
    <t xml:space="preserve">retrieve</t>
  </si>
  <si>
    <t xml:space="preserve">bedrock.get_foundation_model(modelIdentifier=...)</t>
  </si>
  <si>
    <t xml:space="preserve">retrieve_and_generate</t>
  </si>
  <si>
    <t xml:space="preserve">bedrock.create_guardrail(name=..., ...)</t>
  </si>
  <si>
    <t xml:space="preserve">bedrock-runtime</t>
  </si>
  <si>
    <t xml:space="preserve">Inference</t>
  </si>
  <si>
    <t xml:space="preserve">bedrock_runtime.converse(modelId=..., messages=...)</t>
  </si>
  <si>
    <t xml:space="preserve">bedrock_runtime.converse_stream(...)</t>
  </si>
  <si>
    <t xml:space="preserve">bedrock_runtime.invoke_model(modelId=..., body=...)</t>
  </si>
  <si>
    <t xml:space="preserve">bedrock_runtime.apply_guardrail(guardrailIdentifier=...)</t>
  </si>
  <si>
    <t xml:space="preserve">bedrock-agent</t>
  </si>
  <si>
    <t xml:space="preserve">agent_build.create_agent(agentName=..., ...)</t>
  </si>
  <si>
    <t xml:space="preserve">agent_build.update_agent(agentId=..., ...)</t>
  </si>
  <si>
    <t xml:space="preserve">agent_build.prepare_agent(agentId=...)</t>
  </si>
  <si>
    <t xml:space="preserve">agent_build.create_agent_action_group(...)</t>
  </si>
  <si>
    <t xml:space="preserve">agent_build.create_agent_alias(agentId=..., agentAliasName=...)</t>
  </si>
  <si>
    <t xml:space="preserve">agent_build.list_agents()</t>
  </si>
  <si>
    <t xml:space="preserve">bedrock-agent-runtime</t>
  </si>
  <si>
    <t xml:space="preserve">Data</t>
  </si>
  <si>
    <t xml:space="preserve">agent_runtime.invoke_agent(agentId=..., inputText=...)</t>
  </si>
  <si>
    <t xml:space="preserve">invoke_agent(..., sessionState={returnControlInvocationResults:[...]})</t>
  </si>
  <si>
    <t xml:space="preserve">agent_runtime.retrieve(knowledgeBaseId=..., ...)</t>
  </si>
  <si>
    <t xml:space="preserve">agent_runtime.retrieve_and_generate(...)</t>
  </si>
  <si>
    <t xml:space="preserve">THE TRAP  ·  THE US. CROSS-REGION PREFIX</t>
  </si>
  <si>
    <t xml:space="preserve">Build the model id, avoid the 30-min sink</t>
  </si>
  <si>
    <t xml:space="preserve">Pick a family and call type. Watch what happens when you choose Claude + on-demand.</t>
  </si>
  <si>
    <t xml:space="preserve">Model family</t>
  </si>
  <si>
    <t xml:space="preserve">Claude</t>
  </si>
  <si>
    <t xml:space="preserve">Call type</t>
  </si>
  <si>
    <t xml:space="preserve">On-demand</t>
  </si>
  <si>
    <t xml:space="preserve">Region</t>
  </si>
  <si>
    <t xml:space="preserve">us-east-1</t>
  </si>
  <si>
    <t xml:space="preserve">Model id</t>
  </si>
  <si>
    <t xml:space="preserve">Needs us. prefix?</t>
  </si>
  <si>
    <t xml:space="preserve">VERDICT</t>
  </si>
  <si>
    <t xml:space="preserve">Base ids (reference)</t>
  </si>
  <si>
    <t xml:space="preserve">Nova</t>
  </si>
  <si>
    <t xml:space="preserve">amazon.nova-lite-v1:0</t>
  </si>
  <si>
    <t xml:space="preserve">anthropic.claude-3-5-haiku-20241022-v1:0</t>
  </si>
  <si>
    <t xml:space="preserve">Llama</t>
  </si>
  <si>
    <t xml:space="preserve">meta.llama3-1-8b-instruct-v1:0</t>
  </si>
  <si>
    <t xml:space="preserve">Titan</t>
  </si>
  <si>
    <t xml:space="preserve">amazon.titan-text-express-v1</t>
  </si>
  <si>
    <t xml:space="preserve">STEP 2 · INSPECT  ·  THE CONSOLE 'SHOW TRACE' IN CODE</t>
  </si>
  <si>
    <t xml:space="preserve">Decode any trace field</t>
  </si>
  <si>
    <t xml:space="preserve">Pick a field from the stream; see what it means and what to check when debugging.</t>
  </si>
  <si>
    <t xml:space="preserve">Trace field</t>
  </si>
  <si>
    <t xml:space="preserve">rationale</t>
  </si>
  <si>
    <t xml:space="preserve">Reads as</t>
  </si>
  <si>
    <t xml:space="preserve">When debugging, look for</t>
  </si>
  <si>
    <t xml:space="preserve">chunk</t>
  </si>
  <si>
    <t xml:space="preserve">answer text</t>
  </si>
  <si>
    <t xml:space="preserve">The streamed reply bytes; concatenate them for the final answer.</t>
  </si>
  <si>
    <t xml:space="preserve">THINK</t>
  </si>
  <si>
    <t xml:space="preserve">The model's reasoning for this step; if it loops, the same thought repeats.</t>
  </si>
  <si>
    <t xml:space="preserve">invocationInput</t>
  </si>
  <si>
    <t xml:space="preserve">ACT</t>
  </si>
  <si>
    <t xml:space="preserve">Which tool and what arguments; check the args are what you expect.</t>
  </si>
  <si>
    <t xml:space="preserve">observation (tool output)</t>
  </si>
  <si>
    <t xml:space="preserve">OBSERVE</t>
  </si>
  <si>
    <t xml:space="preserve">What the tool returned; a not-found here explains a 'can't find it' answer.</t>
  </si>
  <si>
    <t xml:space="preserve">observation.finalResponse</t>
  </si>
  <si>
    <t xml:space="preserve">FINAL</t>
  </si>
  <si>
    <t xml:space="preserve">The answer the model settled on; empty means it never finished.</t>
  </si>
  <si>
    <t xml:space="preserve">failureTrace</t>
  </si>
  <si>
    <t xml:space="preserve">FAILURE</t>
  </si>
  <si>
    <t xml:space="preserve">failureReason — the agent errored; read it before anything else.</t>
  </si>
  <si>
    <t xml:space="preserve">preProcessingTrace</t>
  </si>
  <si>
    <t xml:space="preserve">input screening</t>
  </si>
  <si>
    <t xml:space="preserve">Whether the input was classified/blocked before orchestration.</t>
  </si>
  <si>
    <t xml:space="preserve">postProcessingTrace</t>
  </si>
  <si>
    <t xml:space="preserve">output polish</t>
  </si>
  <si>
    <t xml:space="preserve">Any reformatting applied after the final answer (off by default).</t>
  </si>
  <si>
    <t xml:space="preserve">THE 50-LOOP  ·  AN INFINITE LOOP IS A BILLABLE LOOP</t>
  </si>
  <si>
    <t xml:space="preserve">Turns, stopReason, and token cost</t>
  </si>
  <si>
    <t xml:space="preserve">Toggle the terminal tool. Without one, an unfulfillable request runs to the cap and burns tokens.</t>
  </si>
  <si>
    <t xml:space="preserve">Request</t>
  </si>
  <si>
    <t xml:space="preserve">Confirm-and-pay (unfulfillable)</t>
  </si>
  <si>
    <t xml:space="preserve">turns used</t>
  </si>
  <si>
    <t xml:space="preserve">Terminal / fallback tool?</t>
  </si>
  <si>
    <t xml:space="preserve">No</t>
  </si>
  <si>
    <t xml:space="preserve">max_turns cap</t>
  </si>
  <si>
    <t xml:space="preserve">Tokens per turn (est)</t>
  </si>
  <si>
    <t xml:space="preserve">$ per 1K tokens</t>
  </si>
  <si>
    <t xml:space="preserve">Turns used</t>
  </si>
  <si>
    <t xml:space="preserve">Total tokens</t>
  </si>
  <si>
    <t xml:space="preserve">Est. cost ($)</t>
  </si>
  <si>
    <t xml:space="preserve">OUTCOME</t>
  </si>
  <si>
    <t xml:space="preserve">Turn</t>
  </si>
  <si>
    <t xml:space="preserve">Converse call</t>
  </si>
  <si>
    <t xml:space="preserve">stopReason</t>
  </si>
  <si>
    <t xml:space="preserve">STEP 3 · REBUILD  ·  THE CONVERSE REQUEST SHAPE</t>
  </si>
  <si>
    <t xml:space="preserve">Compose a converse() call</t>
  </si>
  <si>
    <t xml:space="preserve">Pick the parameters; read the assembled call below. See how each choice maps to the API.</t>
  </si>
  <si>
    <t xml:space="preserve">Model</t>
  </si>
  <si>
    <t xml:space="preserve">us.anthropic.claude-3-5-haiku-20241022-v1:0</t>
  </si>
  <si>
    <t xml:space="preserve">temperature</t>
  </si>
  <si>
    <t xml:space="preserve">0.0</t>
  </si>
  <si>
    <t xml:space="preserve">maxTokens</t>
  </si>
  <si>
    <t xml:space="preserve">512</t>
  </si>
  <si>
    <t xml:space="preserve">tools attached</t>
  </si>
  <si>
    <t xml:space="preserve">3</t>
  </si>
  <si>
    <t xml:space="preserve">system prompt</t>
  </si>
  <si>
    <t xml:space="preserve">grounded (tool-only)</t>
  </si>
  <si>
    <t xml:space="preserve">ASSEMBLED CALL</t>
  </si>
  <si>
    <t xml:space="preserve">MANAGED AGENT  VS  HAND-BUILT LOOP</t>
  </si>
  <si>
    <t xml:space="preserve">invoke_agent or your own Converse loop?</t>
  </si>
  <si>
    <t xml:space="preserve">Three dropdowns pick the approach. Reference table below.</t>
  </si>
  <si>
    <t xml:space="preserve">Need full control of the loop / custom routing?</t>
  </si>
  <si>
    <t xml:space="preserve">Want AWS to manage memory + timeout?</t>
  </si>
  <si>
    <t xml:space="preserve">Yes</t>
  </si>
  <si>
    <t xml:space="preserve">Need deep step-by-step debugging in your code?</t>
  </si>
  <si>
    <t xml:space="preserve">RECOMMENDATION</t>
  </si>
  <si>
    <t xml:space="preserve">Side by side (reference)</t>
  </si>
  <si>
    <t xml:space="preserve">Managed agent</t>
  </si>
  <si>
    <t xml:space="preserve">Hand-built loop</t>
  </si>
  <si>
    <t xml:space="preserve">Who runs the loop</t>
  </si>
  <si>
    <t xml:space="preserve">AWS, server-side</t>
  </si>
  <si>
    <t xml:space="preserve">Your code</t>
  </si>
  <si>
    <t xml:space="preserve">Memory / timeout</t>
  </si>
  <si>
    <t xml:space="preserve">managed (idleSessionTTL)</t>
  </si>
  <si>
    <t xml:space="preserve">you implement it</t>
  </si>
  <si>
    <t xml:space="preserve">Visibility</t>
  </si>
  <si>
    <t xml:space="preserve">trace events</t>
  </si>
  <si>
    <t xml:space="preserve">every variable in your process</t>
  </si>
  <si>
    <t xml:space="preserve">Tools</t>
  </si>
  <si>
    <t xml:space="preserve">action groups</t>
  </si>
  <si>
    <t xml:space="preserve">Python functions in toolConfig</t>
  </si>
  <si>
    <t xml:space="preserve">Best for</t>
  </si>
  <si>
    <t xml:space="preserve">fast, standard tasks</t>
  </si>
  <si>
    <t xml:space="preserve">control, debugging, custom logic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</si>
</sst>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.00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B45309"/>
      <name val="Arial"/>
      <family val="0"/>
      <charset val="1"/>
    </font>
    <font>
      <b val="true"/>
      <sz val="16"/>
      <color rgb="FF1F2937"/>
      <name val="Arial"/>
      <family val="0"/>
      <charset val="1"/>
    </font>
    <font>
      <i val="true"/>
      <sz val="10.5"/>
      <color rgb="FF6B7280"/>
      <name val="Arial"/>
      <family val="0"/>
      <charset val="1"/>
    </font>
    <font>
      <b val="true"/>
      <sz val="10.5"/>
      <color rgb="FF1D4ED8"/>
      <name val="Arial"/>
      <family val="0"/>
      <charset val="1"/>
    </font>
    <font>
      <sz val="10.5"/>
      <color rgb="FF6B7280"/>
      <name val="Arial"/>
      <family val="0"/>
      <charset val="1"/>
    </font>
    <font>
      <b val="true"/>
      <sz val="10.5"/>
      <color rgb="FF1F2937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.5"/>
      <color rgb="FF1F2937"/>
      <name val="Arial"/>
      <family val="0"/>
      <charset val="1"/>
    </font>
    <font>
      <sz val="10.5"/>
      <color rgb="FF0F172A"/>
      <name val="Arial"/>
      <family val="0"/>
      <charset val="1"/>
    </font>
    <font>
      <b val="true"/>
      <sz val="10.5"/>
      <color rgb="FFB45309"/>
      <name val="Arial"/>
      <family val="0"/>
      <charset val="1"/>
    </font>
    <font>
      <sz val="9.5"/>
      <color rgb="FF0F172A"/>
      <name val="Arial"/>
      <family val="0"/>
      <charset val="1"/>
    </font>
    <font>
      <b val="true"/>
      <sz val="10.5"/>
      <color rgb="FF0F172A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9"/>
      <color rgb="FF6B7280"/>
      <name val="Arial"/>
      <family val="0"/>
      <charset val="1"/>
    </font>
    <font>
      <sz val="10"/>
      <name val="Arial"/>
      <family val="2"/>
    </font>
    <font>
      <sz val="10"/>
      <color rgb="FF0F172A"/>
      <name val="Arial"/>
      <family val="0"/>
      <charset val="1"/>
    </font>
    <font>
      <i val="true"/>
      <sz val="10.5"/>
      <color rgb="FF92400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1D6"/>
        <bgColor rgb="FFFBE5D2"/>
      </patternFill>
    </fill>
    <fill>
      <patternFill patternType="solid">
        <fgColor rgb="FFEEF2F7"/>
        <bgColor rgb="FFDCFCE7"/>
      </patternFill>
    </fill>
    <fill>
      <patternFill patternType="solid">
        <fgColor rgb="FFB45309"/>
        <bgColor rgb="FF92400E"/>
      </patternFill>
    </fill>
    <fill>
      <patternFill patternType="solid">
        <fgColor rgb="FFFBE5D2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91B1B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166534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B45309"/>
      </font>
      <fill>
        <patternFill>
          <bgColor rgb="FFFBE5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FF1D6"/>
      <rgbColor rgb="FFDCFCE7"/>
      <rgbColor rgb="FF660066"/>
      <rgbColor rgb="FFFF8080"/>
      <rgbColor rgb="FF1D4ED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CCFFCC"/>
      <rgbColor rgb="FFFEE2E2"/>
      <rgbColor rgb="FF99CCFF"/>
      <rgbColor rgb="FFFF99CC"/>
      <rgbColor rgb="FFCC99FF"/>
      <rgbColor rgb="FFFBE5D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F172A"/>
      <rgbColor rgb="FF333300"/>
      <rgbColor rgb="FF92400E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2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" min="3" style="1" width="76"/>
  </cols>
  <sheetData>
    <row r="2" customFormat="false" ht="15" hidden="false" customHeight="false" outlineLevel="0" collapsed="false">
      <c r="B2" s="2" t="s">
        <v>0</v>
      </c>
    </row>
    <row r="3" customFormat="false" ht="19.7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</row>
    <row r="7" customFormat="false" ht="15" hidden="false" customHeight="false" outlineLevel="0" collapsed="false">
      <c r="B7" s="5" t="s">
        <v>3</v>
      </c>
      <c r="C7" s="6" t="s">
        <v>4</v>
      </c>
    </row>
    <row r="8" customFormat="false" ht="15" hidden="false" customHeight="false" outlineLevel="0" collapsed="false">
      <c r="B8" s="7" t="s">
        <v>5</v>
      </c>
      <c r="C8" s="6" t="s">
        <v>6</v>
      </c>
    </row>
    <row r="10" customFormat="false" ht="61.15" hidden="false" customHeight="false" outlineLevel="0" collapsed="false">
      <c r="A10" s="8" t="s">
        <v>7</v>
      </c>
      <c r="B10" s="8" t="s">
        <v>8</v>
      </c>
    </row>
    <row r="11" customFormat="false" ht="27.75" hidden="false" customHeight="true" outlineLevel="0" collapsed="false">
      <c r="B11" s="9" t="s">
        <v>9</v>
      </c>
      <c r="C11" s="10" t="s">
        <v>10</v>
      </c>
    </row>
    <row r="12" customFormat="false" ht="27.75" hidden="false" customHeight="true" outlineLevel="0" collapsed="false">
      <c r="B12" s="9" t="s">
        <v>11</v>
      </c>
      <c r="C12" s="10" t="s">
        <v>12</v>
      </c>
    </row>
    <row r="13" customFormat="false" ht="27.75" hidden="false" customHeight="true" outlineLevel="0" collapsed="false">
      <c r="B13" s="9" t="s">
        <v>13</v>
      </c>
      <c r="C13" s="10" t="s">
        <v>14</v>
      </c>
    </row>
    <row r="14" customFormat="false" ht="27.75" hidden="false" customHeight="true" outlineLevel="0" collapsed="false">
      <c r="B14" s="9" t="s">
        <v>15</v>
      </c>
      <c r="C14" s="10" t="s">
        <v>16</v>
      </c>
    </row>
    <row r="15" customFormat="false" ht="27.75" hidden="false" customHeight="true" outlineLevel="0" collapsed="false">
      <c r="B15" s="9" t="s">
        <v>17</v>
      </c>
      <c r="C15" s="10" t="s">
        <v>18</v>
      </c>
    </row>
    <row r="16" customFormat="false" ht="27.75" hidden="false" customHeight="true" outlineLevel="0" collapsed="false">
      <c r="B16" s="9" t="s">
        <v>19</v>
      </c>
      <c r="C16" s="1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1:B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24"/>
    <col collapsed="false" customWidth="true" hidden="false" outlineLevel="0" max="4" min="4" style="1" width="15"/>
    <col collapsed="false" customWidth="true" hidden="false" outlineLevel="0" max="5" min="5" style="1" width="46"/>
    <col collapsed="false" customWidth="true" hidden="true" outlineLevel="0" max="61" min="61" style="1" width="13"/>
  </cols>
  <sheetData>
    <row r="1" customFormat="false" ht="15" hidden="false" customHeight="false" outlineLevel="0" collapsed="false">
      <c r="BI1" s="1" t="s">
        <v>21</v>
      </c>
    </row>
    <row r="2" customFormat="false" ht="15" hidden="false" customHeight="false" outlineLevel="0" collapsed="false">
      <c r="B2" s="2" t="s">
        <v>22</v>
      </c>
      <c r="BI2" s="11" t="s">
        <v>23</v>
      </c>
    </row>
    <row r="3" customFormat="false" ht="19.7" hidden="false" customHeight="false" outlineLevel="0" collapsed="false">
      <c r="B3" s="3" t="s">
        <v>24</v>
      </c>
      <c r="BI3" s="11" t="s">
        <v>25</v>
      </c>
    </row>
    <row r="4" customFormat="false" ht="15" hidden="false" customHeight="false" outlineLevel="0" collapsed="false">
      <c r="BI4" s="1" t="s">
        <v>26</v>
      </c>
    </row>
    <row r="5" customFormat="false" ht="15" hidden="false" customHeight="false" outlineLevel="0" collapsed="false">
      <c r="B5" s="4" t="s">
        <v>27</v>
      </c>
      <c r="BI5" s="11" t="s">
        <v>28</v>
      </c>
    </row>
    <row r="6" customFormat="false" ht="15" hidden="false" customHeight="false" outlineLevel="0" collapsed="false">
      <c r="BI6" s="1" t="s">
        <v>29</v>
      </c>
    </row>
    <row r="7" customFormat="false" ht="15" hidden="false" customHeight="false" outlineLevel="0" collapsed="false">
      <c r="B7" s="12" t="s">
        <v>30</v>
      </c>
      <c r="C7" s="5" t="s">
        <v>31</v>
      </c>
      <c r="D7" s="5"/>
      <c r="E7" s="5"/>
      <c r="BI7" s="11" t="s">
        <v>32</v>
      </c>
    </row>
    <row r="8" customFormat="false" ht="15" hidden="false" customHeight="false" outlineLevel="0" collapsed="false">
      <c r="BI8" s="1" t="s">
        <v>33</v>
      </c>
    </row>
    <row r="9" customFormat="false" ht="15" hidden="false" customHeight="false" outlineLevel="0" collapsed="false">
      <c r="B9" s="12" t="s">
        <v>34</v>
      </c>
      <c r="C9" s="7" t="str">
        <f aca="false">VLOOKUP(C7,$B$16:$E$32,2,FALSE())</f>
        <v>bedrock-agent-runtime</v>
      </c>
      <c r="D9" s="12" t="s">
        <v>35</v>
      </c>
      <c r="E9" s="13" t="str">
        <f aca="false">VLOOKUP(C7,$B$16:$E$32,3,FALSE())</f>
        <v>Data</v>
      </c>
      <c r="BI9" s="11" t="s">
        <v>36</v>
      </c>
    </row>
    <row r="10" customFormat="false" ht="15" hidden="false" customHeight="false" outlineLevel="0" collapsed="false">
      <c r="B10" s="12" t="s">
        <v>37</v>
      </c>
      <c r="C10" s="14" t="str">
        <f aca="false">VLOOKUP(C7,$B$16:$E$32,4,FALSE())</f>
        <v>agent_runtime.invoke_agent(agentId=..., inputText=...)</v>
      </c>
      <c r="D10" s="14"/>
      <c r="E10" s="14"/>
      <c r="BI10" s="11" t="s">
        <v>38</v>
      </c>
    </row>
    <row r="11" customFormat="false" ht="15" hidden="false" customHeight="false" outlineLevel="0" collapsed="false">
      <c r="C11" s="14"/>
      <c r="D11" s="14"/>
      <c r="E11" s="14"/>
      <c r="BI11" s="11" t="s">
        <v>39</v>
      </c>
    </row>
    <row r="12" customFormat="false" ht="15" hidden="false" customHeight="false" outlineLevel="0" collapsed="false">
      <c r="BI12" s="1" t="s">
        <v>40</v>
      </c>
    </row>
    <row r="13" customFormat="false" ht="15" hidden="false" customHeight="false" outlineLevel="0" collapsed="false">
      <c r="B13" s="15" t="s">
        <v>41</v>
      </c>
      <c r="C13" s="15"/>
      <c r="D13" s="15"/>
      <c r="E13" s="15"/>
      <c r="BI13" s="11" t="s">
        <v>42</v>
      </c>
    </row>
    <row r="14" customFormat="false" ht="15" hidden="false" customHeight="false" outlineLevel="0" collapsed="false">
      <c r="BI14" s="1" t="s">
        <v>31</v>
      </c>
    </row>
    <row r="15" customFormat="false" ht="97" hidden="false" customHeight="false" outlineLevel="0" collapsed="false">
      <c r="A15" s="8" t="s">
        <v>30</v>
      </c>
      <c r="B15" s="8" t="s">
        <v>34</v>
      </c>
      <c r="C15" s="8" t="s">
        <v>35</v>
      </c>
      <c r="D15" s="8" t="s">
        <v>37</v>
      </c>
      <c r="BI15" s="11" t="s">
        <v>43</v>
      </c>
    </row>
    <row r="16" customFormat="false" ht="21.75" hidden="false" customHeight="true" outlineLevel="0" collapsed="false">
      <c r="B16" s="16" t="s">
        <v>21</v>
      </c>
      <c r="C16" s="9" t="s">
        <v>44</v>
      </c>
      <c r="D16" s="17" t="s">
        <v>45</v>
      </c>
      <c r="E16" s="18" t="s">
        <v>46</v>
      </c>
      <c r="BI16" s="11" t="s">
        <v>47</v>
      </c>
    </row>
    <row r="17" customFormat="false" ht="21.75" hidden="false" customHeight="true" outlineLevel="0" collapsed="false">
      <c r="B17" s="16" t="s">
        <v>23</v>
      </c>
      <c r="C17" s="9" t="s">
        <v>44</v>
      </c>
      <c r="D17" s="17" t="s">
        <v>45</v>
      </c>
      <c r="E17" s="18" t="s">
        <v>48</v>
      </c>
      <c r="BI17" s="11" t="s">
        <v>49</v>
      </c>
    </row>
    <row r="18" customFormat="false" ht="21.75" hidden="false" customHeight="true" outlineLevel="0" collapsed="false">
      <c r="B18" s="16" t="s">
        <v>25</v>
      </c>
      <c r="C18" s="9" t="s">
        <v>44</v>
      </c>
      <c r="D18" s="17" t="s">
        <v>45</v>
      </c>
      <c r="E18" s="18" t="s">
        <v>50</v>
      </c>
    </row>
    <row r="19" customFormat="false" ht="21.75" hidden="false" customHeight="true" outlineLevel="0" collapsed="false">
      <c r="B19" s="16" t="s">
        <v>26</v>
      </c>
      <c r="C19" s="19" t="s">
        <v>51</v>
      </c>
      <c r="D19" s="17" t="s">
        <v>52</v>
      </c>
      <c r="E19" s="18" t="s">
        <v>53</v>
      </c>
    </row>
    <row r="20" customFormat="false" ht="21.75" hidden="false" customHeight="true" outlineLevel="0" collapsed="false">
      <c r="B20" s="16" t="s">
        <v>28</v>
      </c>
      <c r="C20" s="19" t="s">
        <v>51</v>
      </c>
      <c r="D20" s="17" t="s">
        <v>52</v>
      </c>
      <c r="E20" s="18" t="s">
        <v>54</v>
      </c>
    </row>
    <row r="21" customFormat="false" ht="21.75" hidden="false" customHeight="true" outlineLevel="0" collapsed="false">
      <c r="B21" s="16" t="s">
        <v>29</v>
      </c>
      <c r="C21" s="19" t="s">
        <v>51</v>
      </c>
      <c r="D21" s="17" t="s">
        <v>52</v>
      </c>
      <c r="E21" s="18" t="s">
        <v>55</v>
      </c>
    </row>
    <row r="22" customFormat="false" ht="21.75" hidden="false" customHeight="true" outlineLevel="0" collapsed="false">
      <c r="B22" s="16" t="s">
        <v>32</v>
      </c>
      <c r="C22" s="19" t="s">
        <v>51</v>
      </c>
      <c r="D22" s="17" t="s">
        <v>52</v>
      </c>
      <c r="E22" s="18" t="s">
        <v>56</v>
      </c>
    </row>
    <row r="23" customFormat="false" ht="21.75" hidden="false" customHeight="true" outlineLevel="0" collapsed="false">
      <c r="B23" s="16" t="s">
        <v>33</v>
      </c>
      <c r="C23" s="9" t="s">
        <v>57</v>
      </c>
      <c r="D23" s="17" t="s">
        <v>45</v>
      </c>
      <c r="E23" s="18" t="s">
        <v>58</v>
      </c>
    </row>
    <row r="24" customFormat="false" ht="21.75" hidden="false" customHeight="true" outlineLevel="0" collapsed="false">
      <c r="B24" s="16" t="s">
        <v>36</v>
      </c>
      <c r="C24" s="9" t="s">
        <v>57</v>
      </c>
      <c r="D24" s="17" t="s">
        <v>45</v>
      </c>
      <c r="E24" s="18" t="s">
        <v>59</v>
      </c>
    </row>
    <row r="25" customFormat="false" ht="21.75" hidden="false" customHeight="true" outlineLevel="0" collapsed="false">
      <c r="B25" s="16" t="s">
        <v>38</v>
      </c>
      <c r="C25" s="9" t="s">
        <v>57</v>
      </c>
      <c r="D25" s="17" t="s">
        <v>45</v>
      </c>
      <c r="E25" s="18" t="s">
        <v>60</v>
      </c>
    </row>
    <row r="26" customFormat="false" ht="21.75" hidden="false" customHeight="true" outlineLevel="0" collapsed="false">
      <c r="B26" s="16" t="s">
        <v>39</v>
      </c>
      <c r="C26" s="9" t="s">
        <v>57</v>
      </c>
      <c r="D26" s="17" t="s">
        <v>45</v>
      </c>
      <c r="E26" s="18" t="s">
        <v>61</v>
      </c>
    </row>
    <row r="27" customFormat="false" ht="21.75" hidden="false" customHeight="true" outlineLevel="0" collapsed="false">
      <c r="B27" s="16" t="s">
        <v>40</v>
      </c>
      <c r="C27" s="9" t="s">
        <v>57</v>
      </c>
      <c r="D27" s="17" t="s">
        <v>45</v>
      </c>
      <c r="E27" s="18" t="s">
        <v>62</v>
      </c>
    </row>
    <row r="28" customFormat="false" ht="21.75" hidden="false" customHeight="true" outlineLevel="0" collapsed="false">
      <c r="B28" s="16" t="s">
        <v>42</v>
      </c>
      <c r="C28" s="9" t="s">
        <v>57</v>
      </c>
      <c r="D28" s="17" t="s">
        <v>45</v>
      </c>
      <c r="E28" s="18" t="s">
        <v>63</v>
      </c>
    </row>
    <row r="29" customFormat="false" ht="21.75" hidden="false" customHeight="true" outlineLevel="0" collapsed="false">
      <c r="B29" s="16" t="s">
        <v>31</v>
      </c>
      <c r="C29" s="19" t="s">
        <v>64</v>
      </c>
      <c r="D29" s="17" t="s">
        <v>65</v>
      </c>
      <c r="E29" s="18" t="s">
        <v>66</v>
      </c>
    </row>
    <row r="30" customFormat="false" ht="21.75" hidden="false" customHeight="true" outlineLevel="0" collapsed="false">
      <c r="B30" s="16" t="s">
        <v>43</v>
      </c>
      <c r="C30" s="19" t="s">
        <v>64</v>
      </c>
      <c r="D30" s="17" t="s">
        <v>65</v>
      </c>
      <c r="E30" s="18" t="s">
        <v>67</v>
      </c>
    </row>
    <row r="31" customFormat="false" ht="21.75" hidden="false" customHeight="true" outlineLevel="0" collapsed="false">
      <c r="B31" s="16" t="s">
        <v>47</v>
      </c>
      <c r="C31" s="19" t="s">
        <v>64</v>
      </c>
      <c r="D31" s="17" t="s">
        <v>65</v>
      </c>
      <c r="E31" s="18" t="s">
        <v>68</v>
      </c>
    </row>
    <row r="32" customFormat="false" ht="21.75" hidden="false" customHeight="true" outlineLevel="0" collapsed="false">
      <c r="B32" s="16" t="s">
        <v>49</v>
      </c>
      <c r="C32" s="19" t="s">
        <v>64</v>
      </c>
      <c r="D32" s="17" t="s">
        <v>65</v>
      </c>
      <c r="E32" s="18" t="s">
        <v>69</v>
      </c>
    </row>
  </sheetData>
  <mergeCells count="3">
    <mergeCell ref="C7:E7"/>
    <mergeCell ref="C10:E11"/>
    <mergeCell ref="B13:E13"/>
  </mergeCells>
  <dataValidations count="1">
    <dataValidation allowBlank="false" errorStyle="stop" operator="between" showDropDown="false" showErrorMessage="false" showInputMessage="false" sqref="C7" type="list">
      <formula1>$BI$1:$BI$17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B2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30"/>
    <col collapsed="false" customWidth="true" hidden="false" outlineLevel="0" max="4" min="4" style="1" width="52"/>
  </cols>
  <sheetData>
    <row r="2" customFormat="false" ht="15" hidden="false" customHeight="false" outlineLevel="0" collapsed="false">
      <c r="B2" s="2" t="s">
        <v>70</v>
      </c>
    </row>
    <row r="3" customFormat="false" ht="19.7" hidden="false" customHeight="false" outlineLevel="0" collapsed="false">
      <c r="B3" s="3" t="s">
        <v>71</v>
      </c>
    </row>
    <row r="5" customFormat="false" ht="15" hidden="false" customHeight="false" outlineLevel="0" collapsed="false">
      <c r="B5" s="4" t="s">
        <v>72</v>
      </c>
    </row>
    <row r="7" customFormat="false" ht="15" hidden="false" customHeight="false" outlineLevel="0" collapsed="false">
      <c r="B7" s="12" t="s">
        <v>73</v>
      </c>
      <c r="C7" s="5" t="s">
        <v>74</v>
      </c>
    </row>
    <row r="8" customFormat="false" ht="15" hidden="false" customHeight="false" outlineLevel="0" collapsed="false">
      <c r="B8" s="12" t="s">
        <v>75</v>
      </c>
      <c r="C8" s="5" t="s">
        <v>76</v>
      </c>
    </row>
    <row r="9" customFormat="false" ht="15" hidden="false" customHeight="false" outlineLevel="0" collapsed="false">
      <c r="B9" s="12" t="s">
        <v>77</v>
      </c>
      <c r="C9" s="5" t="s">
        <v>78</v>
      </c>
    </row>
    <row r="11" customFormat="false" ht="15" hidden="false" customHeight="false" outlineLevel="0" collapsed="false">
      <c r="B11" s="12" t="s">
        <v>79</v>
      </c>
      <c r="C11" s="20" t="str">
        <f aca="false">IF(C8="Cross-region profile","us.","")&amp;VLOOKUP(C7,$B$20:$C$23,2,FALSE())</f>
        <v>anthropic.claude-3-5-haiku-20241022-v1:0</v>
      </c>
      <c r="D11" s="20"/>
    </row>
    <row r="12" customFormat="false" ht="15" hidden="false" customHeight="false" outlineLevel="0" collapsed="false">
      <c r="B12" s="12" t="s">
        <v>80</v>
      </c>
      <c r="C12" s="13" t="str">
        <f aca="false">IF(C7="Claude","Yes — required in us-east-1",IF(C8="Cross-region profile","Yes — you chose it","No"))</f>
        <v>Yes — required in us-east-1</v>
      </c>
      <c r="D12" s="13"/>
    </row>
    <row r="14" customFormat="false" ht="15" hidden="false" customHeight="false" outlineLevel="0" collapsed="false">
      <c r="B14" s="21" t="s">
        <v>81</v>
      </c>
      <c r="C14" s="22" t="str">
        <f aca="false">IF(AND(C7="Claude",C8="On-demand"),"FAILS — bare Claude id is not callable in us-east-1; switch Call type to Cross-region profile","Works in us-east-1")</f>
        <v>FAILS — bare Claude id is not callable in us-east-1; switch Call type to Cross-region profile</v>
      </c>
      <c r="D14" s="22"/>
    </row>
    <row r="15" customFormat="false" ht="15" hidden="false" customHeight="false" outlineLevel="0" collapsed="false">
      <c r="C15" s="23" t="str">
        <f aca="false">IF(AND(C7="Claude",C8="On-demand"),"The us. prefix is a cross-region inference profile. Some families (Claude here) are only reachable through it in this region.","")</f>
        <v>The us. prefix is a cross-region inference profile. Some families (Claude here) are only reachable through it in this region.</v>
      </c>
      <c r="D15" s="23"/>
    </row>
    <row r="16" customFormat="false" ht="15" hidden="false" customHeight="false" outlineLevel="0" collapsed="false">
      <c r="C16" s="23"/>
      <c r="D16" s="23"/>
    </row>
    <row r="19" customFormat="false" ht="15" hidden="false" customHeight="false" outlineLevel="0" collapsed="false">
      <c r="B19" s="12" t="s">
        <v>82</v>
      </c>
    </row>
    <row r="20" customFormat="false" ht="15" hidden="false" customHeight="false" outlineLevel="0" collapsed="false">
      <c r="B20" s="9" t="s">
        <v>83</v>
      </c>
      <c r="C20" s="24" t="s">
        <v>84</v>
      </c>
      <c r="D20" s="24"/>
    </row>
    <row r="21" customFormat="false" ht="15" hidden="false" customHeight="false" outlineLevel="0" collapsed="false">
      <c r="B21" s="9" t="s">
        <v>74</v>
      </c>
      <c r="C21" s="24" t="s">
        <v>85</v>
      </c>
      <c r="D21" s="24"/>
    </row>
    <row r="22" customFormat="false" ht="15" hidden="false" customHeight="false" outlineLevel="0" collapsed="false">
      <c r="B22" s="9" t="s">
        <v>86</v>
      </c>
      <c r="C22" s="24" t="s">
        <v>87</v>
      </c>
      <c r="D22" s="24"/>
    </row>
    <row r="23" customFormat="false" ht="15" hidden="false" customHeight="false" outlineLevel="0" collapsed="false">
      <c r="B23" s="9" t="s">
        <v>88</v>
      </c>
      <c r="C23" s="24" t="s">
        <v>89</v>
      </c>
      <c r="D23" s="24"/>
    </row>
  </sheetData>
  <mergeCells count="8">
    <mergeCell ref="C11:D11"/>
    <mergeCell ref="C12:D12"/>
    <mergeCell ref="C14:D14"/>
    <mergeCell ref="C15:D16"/>
    <mergeCell ref="C20:D20"/>
    <mergeCell ref="C21:D21"/>
    <mergeCell ref="C22:D22"/>
    <mergeCell ref="C23:D23"/>
  </mergeCells>
  <conditionalFormatting sqref="C14:D14">
    <cfRule type="expression" priority="2" aboveAverage="0" equalAverage="0" bottom="0" percent="0" rank="0" text="" dxfId="0">
      <formula>ISNUMBER(SEARCH("FAILS",C14))</formula>
    </cfRule>
    <cfRule type="expression" priority="3" aboveAverage="0" equalAverage="0" bottom="0" percent="0" rank="0" text="" dxfId="1">
      <formula>ISNUMBER(SEARCH("Works",C14))</formula>
    </cfRule>
  </conditionalFormatting>
  <dataValidations count="3">
    <dataValidation allowBlank="false" errorStyle="stop" operator="between" showDropDown="false" showErrorMessage="false" showInputMessage="false" sqref="C7" type="list">
      <formula1>"Nova,Claude,Llama,Titan"</formula1>
      <formula2>0</formula2>
    </dataValidation>
    <dataValidation allowBlank="false" errorStyle="stop" operator="between" showDropDown="false" showErrorMessage="false" showInputMessage="false" sqref="C8" type="list">
      <formula1>"On-demand,Cross-region profile"</formula1>
      <formula2>0</formula2>
    </dataValidation>
    <dataValidation allowBlank="false" errorStyle="stop" operator="between" showDropDown="false" showErrorMessage="false" showInputMessage="false" sqref="C9" type="list">
      <formula1>"us-east-1"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2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58"/>
  </cols>
  <sheetData>
    <row r="2" customFormat="false" ht="15" hidden="false" customHeight="false" outlineLevel="0" collapsed="false">
      <c r="B2" s="2" t="s">
        <v>90</v>
      </c>
    </row>
    <row r="3" customFormat="false" ht="19.7" hidden="false" customHeight="false" outlineLevel="0" collapsed="false">
      <c r="B3" s="3" t="s">
        <v>91</v>
      </c>
    </row>
    <row r="5" customFormat="false" ht="15" hidden="false" customHeight="false" outlineLevel="0" collapsed="false">
      <c r="B5" s="4" t="s">
        <v>92</v>
      </c>
    </row>
    <row r="7" customFormat="false" ht="15" hidden="false" customHeight="false" outlineLevel="0" collapsed="false">
      <c r="B7" s="12" t="s">
        <v>93</v>
      </c>
      <c r="C7" s="5" t="s">
        <v>94</v>
      </c>
      <c r="D7" s="5"/>
    </row>
    <row r="9" customFormat="false" ht="15" hidden="false" customHeight="false" outlineLevel="0" collapsed="false">
      <c r="B9" s="12" t="s">
        <v>95</v>
      </c>
      <c r="C9" s="7" t="str">
        <f aca="false">VLOOKUP(C7,$B$15:$D$22,2,FALSE())</f>
        <v>THINK</v>
      </c>
    </row>
    <row r="10" customFormat="false" ht="15" hidden="false" customHeight="false" outlineLevel="0" collapsed="false">
      <c r="B10" s="12" t="s">
        <v>96</v>
      </c>
      <c r="C10" s="25" t="str">
        <f aca="false">VLOOKUP(C7,$B$15:$D$22,3,FALSE())</f>
        <v>The model's reasoning for this step; if it loops, the same thought repeats.</v>
      </c>
      <c r="D10" s="25"/>
    </row>
    <row r="11" customFormat="false" ht="15" hidden="false" customHeight="false" outlineLevel="0" collapsed="false">
      <c r="C11" s="25"/>
      <c r="D11" s="25"/>
    </row>
    <row r="14" customFormat="false" ht="108.95" hidden="false" customHeight="false" outlineLevel="0" collapsed="false">
      <c r="A14" s="8" t="s">
        <v>93</v>
      </c>
      <c r="B14" s="8" t="s">
        <v>95</v>
      </c>
      <c r="C14" s="8" t="s">
        <v>96</v>
      </c>
    </row>
    <row r="15" customFormat="false" ht="25.5" hidden="false" customHeight="true" outlineLevel="0" collapsed="false">
      <c r="B15" s="16" t="s">
        <v>97</v>
      </c>
      <c r="C15" s="26" t="s">
        <v>98</v>
      </c>
      <c r="D15" s="10" t="s">
        <v>99</v>
      </c>
    </row>
    <row r="16" customFormat="false" ht="25.5" hidden="false" customHeight="true" outlineLevel="0" collapsed="false">
      <c r="B16" s="16" t="s">
        <v>94</v>
      </c>
      <c r="C16" s="26" t="s">
        <v>100</v>
      </c>
      <c r="D16" s="10" t="s">
        <v>101</v>
      </c>
    </row>
    <row r="17" customFormat="false" ht="25.5" hidden="false" customHeight="true" outlineLevel="0" collapsed="false">
      <c r="B17" s="16" t="s">
        <v>102</v>
      </c>
      <c r="C17" s="26" t="s">
        <v>103</v>
      </c>
      <c r="D17" s="10" t="s">
        <v>104</v>
      </c>
    </row>
    <row r="18" customFormat="false" ht="25.5" hidden="false" customHeight="true" outlineLevel="0" collapsed="false">
      <c r="B18" s="16" t="s">
        <v>105</v>
      </c>
      <c r="C18" s="26" t="s">
        <v>106</v>
      </c>
      <c r="D18" s="10" t="s">
        <v>107</v>
      </c>
    </row>
    <row r="19" customFormat="false" ht="25.5" hidden="false" customHeight="true" outlineLevel="0" collapsed="false">
      <c r="B19" s="16" t="s">
        <v>108</v>
      </c>
      <c r="C19" s="26" t="s">
        <v>109</v>
      </c>
      <c r="D19" s="10" t="s">
        <v>110</v>
      </c>
    </row>
    <row r="20" customFormat="false" ht="25.5" hidden="false" customHeight="true" outlineLevel="0" collapsed="false">
      <c r="B20" s="16" t="s">
        <v>111</v>
      </c>
      <c r="C20" s="26" t="s">
        <v>112</v>
      </c>
      <c r="D20" s="10" t="s">
        <v>113</v>
      </c>
    </row>
    <row r="21" customFormat="false" ht="25.5" hidden="false" customHeight="true" outlineLevel="0" collapsed="false">
      <c r="B21" s="16" t="s">
        <v>114</v>
      </c>
      <c r="C21" s="26" t="s">
        <v>115</v>
      </c>
      <c r="D21" s="10" t="s">
        <v>116</v>
      </c>
    </row>
    <row r="22" customFormat="false" ht="25.5" hidden="false" customHeight="true" outlineLevel="0" collapsed="false">
      <c r="B22" s="16" t="s">
        <v>117</v>
      </c>
      <c r="C22" s="26" t="s">
        <v>118</v>
      </c>
      <c r="D22" s="10" t="s">
        <v>119</v>
      </c>
    </row>
  </sheetData>
  <mergeCells count="2">
    <mergeCell ref="C7:D7"/>
    <mergeCell ref="C10:D11"/>
  </mergeCells>
  <dataValidations count="1">
    <dataValidation allowBlank="false" errorStyle="stop" operator="between" showDropDown="false" showErrorMessage="false" showInputMessage="false" sqref="C7" type="list">
      <formula1>"chunk,rationale,invocationInput,observation (tool output),observation.finalResponse,failureTrace,preProcessingTrace,postProcessingTrace"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B2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24"/>
    <col collapsed="false" customWidth="true" hidden="false" outlineLevel="0" max="4" min="4" style="1" width="10"/>
    <col collapsed="false" customWidth="true" hidden="false" outlineLevel="0" max="5" min="5" style="1" width="46"/>
  </cols>
  <sheetData>
    <row r="2" customFormat="false" ht="15" hidden="false" customHeight="false" outlineLevel="0" collapsed="false">
      <c r="B2" s="2" t="s">
        <v>120</v>
      </c>
    </row>
    <row r="3" customFormat="false" ht="19.7" hidden="false" customHeight="false" outlineLevel="0" collapsed="false">
      <c r="B3" s="3" t="s">
        <v>121</v>
      </c>
    </row>
    <row r="5" customFormat="false" ht="15" hidden="false" customHeight="false" outlineLevel="0" collapsed="false">
      <c r="B5" s="4" t="s">
        <v>122</v>
      </c>
    </row>
    <row r="7" customFormat="false" ht="15" hidden="false" customHeight="false" outlineLevel="0" collapsed="false">
      <c r="B7" s="12" t="s">
        <v>123</v>
      </c>
      <c r="C7" s="5" t="s">
        <v>124</v>
      </c>
      <c r="D7" s="5"/>
      <c r="E7" s="5"/>
      <c r="F7" s="27" t="s">
        <v>125</v>
      </c>
      <c r="G7" s="27" t="n">
        <f aca="false">IF(LEFT(C7,10)="Disruption",MIN(4,C9),IF(C8="Yes",2,C9))</f>
        <v>8</v>
      </c>
    </row>
    <row r="8" customFormat="false" ht="15" hidden="false" customHeight="false" outlineLevel="0" collapsed="false">
      <c r="B8" s="12" t="s">
        <v>126</v>
      </c>
      <c r="C8" s="5" t="s">
        <v>127</v>
      </c>
    </row>
    <row r="9" customFormat="false" ht="15" hidden="false" customHeight="false" outlineLevel="0" collapsed="false">
      <c r="B9" s="12" t="s">
        <v>128</v>
      </c>
      <c r="C9" s="5" t="n">
        <v>8</v>
      </c>
    </row>
    <row r="10" customFormat="false" ht="15" hidden="false" customHeight="false" outlineLevel="0" collapsed="false">
      <c r="B10" s="12" t="s">
        <v>129</v>
      </c>
      <c r="C10" s="5" t="n">
        <v>1500</v>
      </c>
    </row>
    <row r="11" customFormat="false" ht="15" hidden="false" customHeight="false" outlineLevel="0" collapsed="false">
      <c r="B11" s="12" t="s">
        <v>130</v>
      </c>
      <c r="C11" s="5" t="n">
        <v>0</v>
      </c>
    </row>
    <row r="13" customFormat="false" ht="15" hidden="false" customHeight="false" outlineLevel="0" collapsed="false">
      <c r="B13" s="12" t="s">
        <v>131</v>
      </c>
      <c r="C13" s="7" t="n">
        <f aca="false">G7</f>
        <v>8</v>
      </c>
    </row>
    <row r="14" customFormat="false" ht="15" hidden="false" customHeight="false" outlineLevel="0" collapsed="false">
      <c r="B14" s="12" t="s">
        <v>132</v>
      </c>
      <c r="C14" s="28" t="n">
        <f aca="false">G7*C10</f>
        <v>12000</v>
      </c>
    </row>
    <row r="15" customFormat="false" ht="15" hidden="false" customHeight="false" outlineLevel="0" collapsed="false">
      <c r="B15" s="12" t="s">
        <v>133</v>
      </c>
      <c r="C15" s="29" t="n">
        <f aca="false">C14/1000*C11</f>
        <v>0</v>
      </c>
    </row>
    <row r="17" customFormat="false" ht="15" hidden="false" customHeight="false" outlineLevel="0" collapsed="false">
      <c r="B17" s="21" t="s">
        <v>134</v>
      </c>
      <c r="C17" s="22" t="str">
        <f aca="false">IF(LEFT(C7,10)="Disruption","Clean exit (end_turn) in "&amp;G7&amp;" turns",IF(C8="Yes","Clean exit via terminal tool in "&amp;G7&amp;" turns","RUNAWAY — stopReason stuck on tool_use to the cap ("&amp;C9&amp;" turns)"))</f>
        <v>RUNAWAY — stopReason stuck on tool_use to the cap (8 turns)</v>
      </c>
      <c r="D17" s="22"/>
      <c r="E17" s="22"/>
    </row>
    <row r="18" customFormat="false" ht="15" hidden="false" customHeight="false" outlineLevel="0" collapsed="false">
      <c r="C18" s="23" t="str">
        <f aca="false">IF(AND(LEFT(C7,7)="Confirm",C8="No"),"Add a terminal/fallback tool (handoff_to_human) and this drops to 2 turns — "&amp;ROUND(C9/2,1)&amp;"x fewer tokens.","")</f>
        <v>Add a terminal/fallback tool (handoff_to_human) and this drops to 2 turns — 4x fewer tokens.</v>
      </c>
      <c r="D18" s="23"/>
      <c r="E18" s="23"/>
    </row>
    <row r="19" customFormat="false" ht="15" hidden="false" customHeight="false" outlineLevel="0" collapsed="false">
      <c r="C19" s="23"/>
      <c r="D19" s="23"/>
      <c r="E19" s="23"/>
    </row>
    <row r="21" customFormat="false" ht="25.35" hidden="false" customHeight="false" outlineLevel="0" collapsed="false">
      <c r="B21" s="8" t="s">
        <v>135</v>
      </c>
      <c r="C21" s="8" t="s">
        <v>136</v>
      </c>
      <c r="D21" s="8" t="s">
        <v>137</v>
      </c>
    </row>
    <row r="22" customFormat="false" ht="15" hidden="false" customHeight="false" outlineLevel="0" collapsed="false">
      <c r="B22" s="17" t="n">
        <v>1</v>
      </c>
      <c r="C22" s="30" t="str">
        <f aca="false">IF(B22&gt;$G$7,"—",IF(LEFT($C$7,10)="Disruption",CHOOSE(MIN(B22,4),"lookup_booking","get_disruption_reason","get_rebooking_options","final answer"),IF($C$8="Yes",IF(B22=1,"handoff_to_human","final answer"),"lookup_booking (again)")))</f>
        <v>lookup_booking (again)</v>
      </c>
      <c r="D22" s="30"/>
      <c r="E22" s="17" t="str">
        <f aca="false">IF(B22&gt;$G$7,"—",IF(OR(RIGHT(C22,6)="answer",C22="handoff_to_human"),"end_turn",IF(AND(LEFT($C$7,7)="Confirm",$C$8="No",B22=$C$9),"CAP HIT","tool_use")))</f>
        <v>tool_use</v>
      </c>
    </row>
    <row r="23" customFormat="false" ht="15" hidden="false" customHeight="false" outlineLevel="0" collapsed="false">
      <c r="B23" s="17" t="n">
        <v>2</v>
      </c>
      <c r="C23" s="30" t="str">
        <f aca="false">IF(B23&gt;$G$7,"—",IF(LEFT($C$7,10)="Disruption",CHOOSE(MIN(B23,4),"lookup_booking","get_disruption_reason","get_rebooking_options","final answer"),IF($C$8="Yes",IF(B23=1,"handoff_to_human","final answer"),"lookup_booking (again)")))</f>
        <v>lookup_booking (again)</v>
      </c>
      <c r="D23" s="30"/>
      <c r="E23" s="17" t="str">
        <f aca="false">IF(B23&gt;$G$7,"—",IF(OR(RIGHT(C23,6)="answer",C23="handoff_to_human"),"end_turn",IF(AND(LEFT($C$7,7)="Confirm",$C$8="No",B23=$C$9),"CAP HIT","tool_use")))</f>
        <v>tool_use</v>
      </c>
    </row>
    <row r="24" customFormat="false" ht="15" hidden="false" customHeight="false" outlineLevel="0" collapsed="false">
      <c r="B24" s="17" t="n">
        <v>3</v>
      </c>
      <c r="C24" s="30" t="str">
        <f aca="false">IF(B24&gt;$G$7,"—",IF(LEFT($C$7,10)="Disruption",CHOOSE(MIN(B24,4),"lookup_booking","get_disruption_reason","get_rebooking_options","final answer"),IF($C$8="Yes",IF(B24=1,"handoff_to_human","final answer"),"lookup_booking (again)")))</f>
        <v>lookup_booking (again)</v>
      </c>
      <c r="D24" s="30"/>
      <c r="E24" s="17" t="str">
        <f aca="false">IF(B24&gt;$G$7,"—",IF(OR(RIGHT(C24,6)="answer",C24="handoff_to_human"),"end_turn",IF(AND(LEFT($C$7,7)="Confirm",$C$8="No",B24=$C$9),"CAP HIT","tool_use")))</f>
        <v>tool_use</v>
      </c>
    </row>
    <row r="25" customFormat="false" ht="15" hidden="false" customHeight="false" outlineLevel="0" collapsed="false">
      <c r="B25" s="17" t="n">
        <v>4</v>
      </c>
      <c r="C25" s="30" t="str">
        <f aca="false">IF(B25&gt;$G$7,"—",IF(LEFT($C$7,10)="Disruption",CHOOSE(MIN(B25,4),"lookup_booking","get_disruption_reason","get_rebooking_options","final answer"),IF($C$8="Yes",IF(B25=1,"handoff_to_human","final answer"),"lookup_booking (again)")))</f>
        <v>lookup_booking (again)</v>
      </c>
      <c r="D25" s="30"/>
      <c r="E25" s="17" t="str">
        <f aca="false">IF(B25&gt;$G$7,"—",IF(OR(RIGHT(C25,6)="answer",C25="handoff_to_human"),"end_turn",IF(AND(LEFT($C$7,7)="Confirm",$C$8="No",B25=$C$9),"CAP HIT","tool_use")))</f>
        <v>tool_use</v>
      </c>
    </row>
    <row r="26" customFormat="false" ht="15" hidden="false" customHeight="false" outlineLevel="0" collapsed="false">
      <c r="B26" s="17" t="n">
        <v>5</v>
      </c>
      <c r="C26" s="30" t="str">
        <f aca="false">IF(B26&gt;$G$7,"—",IF(LEFT($C$7,10)="Disruption",CHOOSE(MIN(B26,4),"lookup_booking","get_disruption_reason","get_rebooking_options","final answer"),IF($C$8="Yes",IF(B26=1,"handoff_to_human","final answer"),"lookup_booking (again)")))</f>
        <v>lookup_booking (again)</v>
      </c>
      <c r="D26" s="30"/>
      <c r="E26" s="17" t="str">
        <f aca="false">IF(B26&gt;$G$7,"—",IF(OR(RIGHT(C26,6)="answer",C26="handoff_to_human"),"end_turn",IF(AND(LEFT($C$7,7)="Confirm",$C$8="No",B26=$C$9),"CAP HIT","tool_use")))</f>
        <v>tool_use</v>
      </c>
    </row>
    <row r="27" customFormat="false" ht="15" hidden="false" customHeight="false" outlineLevel="0" collapsed="false">
      <c r="B27" s="17" t="n">
        <v>6</v>
      </c>
      <c r="C27" s="30" t="str">
        <f aca="false">IF(B27&gt;$G$7,"—",IF(LEFT($C$7,10)="Disruption",CHOOSE(MIN(B27,4),"lookup_booking","get_disruption_reason","get_rebooking_options","final answer"),IF($C$8="Yes",IF(B27=1,"handoff_to_human","final answer"),"lookup_booking (again)")))</f>
        <v>lookup_booking (again)</v>
      </c>
      <c r="D27" s="30"/>
      <c r="E27" s="17" t="str">
        <f aca="false">IF(B27&gt;$G$7,"—",IF(OR(RIGHT(C27,6)="answer",C27="handoff_to_human"),"end_turn",IF(AND(LEFT($C$7,7)="Confirm",$C$8="No",B27=$C$9),"CAP HIT","tool_use")))</f>
        <v>tool_use</v>
      </c>
    </row>
    <row r="28" customFormat="false" ht="15" hidden="false" customHeight="false" outlineLevel="0" collapsed="false">
      <c r="B28" s="17" t="n">
        <v>7</v>
      </c>
      <c r="C28" s="30" t="str">
        <f aca="false">IF(B28&gt;$G$7,"—",IF(LEFT($C$7,10)="Disruption",CHOOSE(MIN(B28,4),"lookup_booking","get_disruption_reason","get_rebooking_options","final answer"),IF($C$8="Yes",IF(B28=1,"handoff_to_human","final answer"),"lookup_booking (again)")))</f>
        <v>lookup_booking (again)</v>
      </c>
      <c r="D28" s="30"/>
      <c r="E28" s="17" t="str">
        <f aca="false">IF(B28&gt;$G$7,"—",IF(OR(RIGHT(C28,6)="answer",C28="handoff_to_human"),"end_turn",IF(AND(LEFT($C$7,7)="Confirm",$C$8="No",B28=$C$9),"CAP HIT","tool_use")))</f>
        <v>tool_use</v>
      </c>
    </row>
    <row r="29" customFormat="false" ht="15" hidden="false" customHeight="false" outlineLevel="0" collapsed="false">
      <c r="B29" s="17" t="n">
        <v>8</v>
      </c>
      <c r="C29" s="30" t="str">
        <f aca="false">IF(B29&gt;$G$7,"—",IF(LEFT($C$7,10)="Disruption",CHOOSE(MIN(B29,4),"lookup_booking","get_disruption_reason","get_rebooking_options","final answer"),IF($C$8="Yes",IF(B29=1,"handoff_to_human","final answer"),"lookup_booking (again)")))</f>
        <v>lookup_booking (again)</v>
      </c>
      <c r="D29" s="30"/>
      <c r="E29" s="17" t="str">
        <f aca="false">IF(B29&gt;$G$7,"—",IF(OR(RIGHT(C29,6)="answer",C29="handoff_to_human"),"end_turn",IF(AND(LEFT($C$7,7)="Confirm",$C$8="No",B29=$C$9),"CAP HIT","tool_use")))</f>
        <v>CAP HIT</v>
      </c>
    </row>
    <row r="30" customFormat="false" ht="15" hidden="false" customHeight="false" outlineLevel="0" collapsed="false">
      <c r="B30" s="17" t="n">
        <v>9</v>
      </c>
      <c r="C30" s="30" t="str">
        <f aca="false">IF(B30&gt;$G$7,"—",IF(LEFT($C$7,10)="Disruption",CHOOSE(MIN(B30,4),"lookup_booking","get_disruption_reason","get_rebooking_options","final answer"),IF($C$8="Yes",IF(B30=1,"handoff_to_human","final answer"),"lookup_booking (again)")))</f>
        <v>—</v>
      </c>
      <c r="D30" s="30"/>
      <c r="E30" s="17" t="str">
        <f aca="false">IF(B30&gt;$G$7,"—",IF(OR(RIGHT(C30,6)="answer",C30="handoff_to_human"),"end_turn",IF(AND(LEFT($C$7,7)="Confirm",$C$8="No",B30=$C$9),"CAP HIT","tool_use")))</f>
        <v>—</v>
      </c>
    </row>
    <row r="31" customFormat="false" ht="15" hidden="false" customHeight="false" outlineLevel="0" collapsed="false">
      <c r="B31" s="17" t="n">
        <v>10</v>
      </c>
      <c r="C31" s="30" t="str">
        <f aca="false">IF(B31&gt;$G$7,"—",IF(LEFT($C$7,10)="Disruption",CHOOSE(MIN(B31,4),"lookup_booking","get_disruption_reason","get_rebooking_options","final answer"),IF($C$8="Yes",IF(B31=1,"handoff_to_human","final answer"),"lookup_booking (again)")))</f>
        <v>—</v>
      </c>
      <c r="D31" s="30"/>
      <c r="E31" s="17" t="str">
        <f aca="false">IF(B31&gt;$G$7,"—",IF(OR(RIGHT(C31,6)="answer",C31="handoff_to_human"),"end_turn",IF(AND(LEFT($C$7,7)="Confirm",$C$8="No",B31=$C$9),"CAP HIT","tool_use")))</f>
        <v>—</v>
      </c>
    </row>
  </sheetData>
  <mergeCells count="13">
    <mergeCell ref="C7:E7"/>
    <mergeCell ref="C17:E17"/>
    <mergeCell ref="C18:E19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</mergeCells>
  <conditionalFormatting sqref="C17:E17">
    <cfRule type="expression" priority="2" aboveAverage="0" equalAverage="0" bottom="0" percent="0" rank="0" text="" dxfId="0">
      <formula>ISNUMBER(SEARCH("RUNAWAY",C17))</formula>
    </cfRule>
    <cfRule type="expression" priority="3" aboveAverage="0" equalAverage="0" bottom="0" percent="0" rank="0" text="" dxfId="1">
      <formula>ISNUMBER(SEARCH("Clean exit",C17))</formula>
    </cfRule>
  </conditionalFormatting>
  <conditionalFormatting sqref="E22">
    <cfRule type="expression" priority="4" aboveAverage="0" equalAverage="0" bottom="0" percent="0" rank="0" text="" dxfId="0">
      <formula>ISNUMBER(SEARCH("CAP HIT",E22))</formula>
    </cfRule>
    <cfRule type="expression" priority="5" aboveAverage="0" equalAverage="0" bottom="0" percent="0" rank="0" text="" dxfId="1">
      <formula>ISNUMBER(SEARCH("end_turn",E22))</formula>
    </cfRule>
  </conditionalFormatting>
  <conditionalFormatting sqref="E23">
    <cfRule type="expression" priority="6" aboveAverage="0" equalAverage="0" bottom="0" percent="0" rank="0" text="" dxfId="0">
      <formula>ISNUMBER(SEARCH("CAP HIT",E23))</formula>
    </cfRule>
    <cfRule type="expression" priority="7" aboveAverage="0" equalAverage="0" bottom="0" percent="0" rank="0" text="" dxfId="1">
      <formula>ISNUMBER(SEARCH("end_turn",E23))</formula>
    </cfRule>
  </conditionalFormatting>
  <conditionalFormatting sqref="E24">
    <cfRule type="expression" priority="8" aboveAverage="0" equalAverage="0" bottom="0" percent="0" rank="0" text="" dxfId="0">
      <formula>ISNUMBER(SEARCH("CAP HIT",E24))</formula>
    </cfRule>
    <cfRule type="expression" priority="9" aboveAverage="0" equalAverage="0" bottom="0" percent="0" rank="0" text="" dxfId="1">
      <formula>ISNUMBER(SEARCH("end_turn",E24))</formula>
    </cfRule>
  </conditionalFormatting>
  <conditionalFormatting sqref="E25">
    <cfRule type="expression" priority="10" aboveAverage="0" equalAverage="0" bottom="0" percent="0" rank="0" text="" dxfId="0">
      <formula>ISNUMBER(SEARCH("CAP HIT",E25))</formula>
    </cfRule>
    <cfRule type="expression" priority="11" aboveAverage="0" equalAverage="0" bottom="0" percent="0" rank="0" text="" dxfId="1">
      <formula>ISNUMBER(SEARCH("end_turn",E25))</formula>
    </cfRule>
  </conditionalFormatting>
  <conditionalFormatting sqref="E26">
    <cfRule type="expression" priority="12" aboveAverage="0" equalAverage="0" bottom="0" percent="0" rank="0" text="" dxfId="0">
      <formula>ISNUMBER(SEARCH("CAP HIT",E26))</formula>
    </cfRule>
    <cfRule type="expression" priority="13" aboveAverage="0" equalAverage="0" bottom="0" percent="0" rank="0" text="" dxfId="1">
      <formula>ISNUMBER(SEARCH("end_turn",E26))</formula>
    </cfRule>
  </conditionalFormatting>
  <conditionalFormatting sqref="E27">
    <cfRule type="expression" priority="14" aboveAverage="0" equalAverage="0" bottom="0" percent="0" rank="0" text="" dxfId="0">
      <formula>ISNUMBER(SEARCH("CAP HIT",E27))</formula>
    </cfRule>
    <cfRule type="expression" priority="15" aboveAverage="0" equalAverage="0" bottom="0" percent="0" rank="0" text="" dxfId="1">
      <formula>ISNUMBER(SEARCH("end_turn",E27))</formula>
    </cfRule>
  </conditionalFormatting>
  <conditionalFormatting sqref="E28">
    <cfRule type="expression" priority="16" aboveAverage="0" equalAverage="0" bottom="0" percent="0" rank="0" text="" dxfId="0">
      <formula>ISNUMBER(SEARCH("CAP HIT",E28))</formula>
    </cfRule>
    <cfRule type="expression" priority="17" aboveAverage="0" equalAverage="0" bottom="0" percent="0" rank="0" text="" dxfId="1">
      <formula>ISNUMBER(SEARCH("end_turn",E28))</formula>
    </cfRule>
  </conditionalFormatting>
  <conditionalFormatting sqref="E29">
    <cfRule type="expression" priority="18" aboveAverage="0" equalAverage="0" bottom="0" percent="0" rank="0" text="" dxfId="0">
      <formula>ISNUMBER(SEARCH("CAP HIT",E29))</formula>
    </cfRule>
    <cfRule type="expression" priority="19" aboveAverage="0" equalAverage="0" bottom="0" percent="0" rank="0" text="" dxfId="1">
      <formula>ISNUMBER(SEARCH("end_turn",E29))</formula>
    </cfRule>
  </conditionalFormatting>
  <conditionalFormatting sqref="E30">
    <cfRule type="expression" priority="20" aboveAverage="0" equalAverage="0" bottom="0" percent="0" rank="0" text="" dxfId="0">
      <formula>ISNUMBER(SEARCH("CAP HIT",E30))</formula>
    </cfRule>
    <cfRule type="expression" priority="21" aboveAverage="0" equalAverage="0" bottom="0" percent="0" rank="0" text="" dxfId="1">
      <formula>ISNUMBER(SEARCH("end_turn",E30))</formula>
    </cfRule>
  </conditionalFormatting>
  <conditionalFormatting sqref="E31">
    <cfRule type="expression" priority="22" aboveAverage="0" equalAverage="0" bottom="0" percent="0" rank="0" text="" dxfId="0">
      <formula>ISNUMBER(SEARCH("CAP HIT",E31))</formula>
    </cfRule>
    <cfRule type="expression" priority="23" aboveAverage="0" equalAverage="0" bottom="0" percent="0" rank="0" text="" dxfId="1">
      <formula>ISNUMBER(SEARCH("end_turn",E31))</formula>
    </cfRule>
  </conditionalFormatting>
  <dataValidations count="4">
    <dataValidation allowBlank="false" errorStyle="stop" operator="between" showDropDown="false" showErrorMessage="false" showInputMessage="false" sqref="C7" type="list">
      <formula1>"Disruption + rebook (fulfillable),Confirm-and-pay (unfulfillable)"</formula1>
      <formula2>0</formula2>
    </dataValidation>
    <dataValidation allowBlank="false" errorStyle="stop" operator="between" showDropDown="false" showErrorMessage="false" showInputMessage="false" sqref="C8" type="list">
      <formula1>"Yes,No"</formula1>
      <formula2>0</formula2>
    </dataValidation>
    <dataValidation allowBlank="false" errorStyle="stop" operator="between" showDropDown="false" showErrorMessage="false" showInputMessage="false" sqref="C9" type="list">
      <formula1>"3,5,8,10"</formula1>
      <formula2>0</formula2>
    </dataValidation>
    <dataValidation allowBlank="false" errorStyle="stop" operator="between" showDropDown="false" showErrorMessage="false" showInputMessage="false" sqref="C10" type="list">
      <formula1>"1000,1500,2000"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B2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4" min="3" style="1" width="40"/>
  </cols>
  <sheetData>
    <row r="2" customFormat="false" ht="15" hidden="false" customHeight="false" outlineLevel="0" collapsed="false">
      <c r="B2" s="2" t="s">
        <v>138</v>
      </c>
    </row>
    <row r="3" customFormat="false" ht="19.7" hidden="false" customHeight="false" outlineLevel="0" collapsed="false">
      <c r="B3" s="3" t="s">
        <v>139</v>
      </c>
    </row>
    <row r="5" customFormat="false" ht="15" hidden="false" customHeight="false" outlineLevel="0" collapsed="false">
      <c r="B5" s="4" t="s">
        <v>140</v>
      </c>
    </row>
    <row r="7" customFormat="false" ht="15" hidden="false" customHeight="false" outlineLevel="0" collapsed="false">
      <c r="B7" s="12" t="s">
        <v>141</v>
      </c>
      <c r="C7" s="5" t="s">
        <v>142</v>
      </c>
      <c r="D7" s="5"/>
    </row>
    <row r="8" customFormat="false" ht="15" hidden="false" customHeight="false" outlineLevel="0" collapsed="false">
      <c r="B8" s="12" t="s">
        <v>143</v>
      </c>
      <c r="C8" s="5" t="s">
        <v>144</v>
      </c>
    </row>
    <row r="9" customFormat="false" ht="15" hidden="false" customHeight="false" outlineLevel="0" collapsed="false">
      <c r="B9" s="12" t="s">
        <v>145</v>
      </c>
      <c r="C9" s="5" t="s">
        <v>146</v>
      </c>
    </row>
    <row r="10" customFormat="false" ht="15" hidden="false" customHeight="false" outlineLevel="0" collapsed="false">
      <c r="B10" s="12" t="s">
        <v>147</v>
      </c>
      <c r="C10" s="5" t="s">
        <v>148</v>
      </c>
    </row>
    <row r="11" customFormat="false" ht="15" hidden="false" customHeight="false" outlineLevel="0" collapsed="false">
      <c r="B11" s="12" t="s">
        <v>149</v>
      </c>
      <c r="C11" s="5" t="s">
        <v>150</v>
      </c>
    </row>
    <row r="13" customFormat="false" ht="15" hidden="false" customHeight="false" outlineLevel="0" collapsed="false">
      <c r="B13" s="31" t="s">
        <v>151</v>
      </c>
      <c r="C13" s="32" t="str">
        <f aca="false">_xlfn.TEXTJOIN(CHAR(10),TRUE(),"bedrock_runtime.converse(","    modelId="""&amp;C7&amp;""",","    messages=[{""role"":""user"",""content"":[{""text"":user_text}]}],","    inferenceConfig={""temperature"": "&amp;C8&amp;", ""maxTokens"": "&amp;C9&amp;"},",IF(C10="0","","    toolConfig={""tools"": ["&amp;C10&amp;" toolSpec(s)]},"),IF(C11="none","","    system=[{""text"": ""use only tool facts; never invent""}],"),")")</f>
        <v>bedrock_runtime.converse(
    modelId="us.anthropic.claude-3-5-haiku-20241022-v1:0",
    messages=[{"role":"user","content":[{"text":user_text}]}],
    inferenceConfig={"temperature": 0.0, "maxTokens": 512},
    toolConfig={"tools": [3 toolSpec(s)]},
    system=[{"text": "use only tool facts; never invent"}],
)</v>
      </c>
      <c r="D13" s="32"/>
    </row>
    <row r="14" customFormat="false" ht="15" hidden="false" customHeight="false" outlineLevel="0" collapsed="false">
      <c r="C14" s="32"/>
      <c r="D14" s="32"/>
    </row>
    <row r="15" customFormat="false" ht="15" hidden="false" customHeight="false" outlineLevel="0" collapsed="false">
      <c r="C15" s="32"/>
      <c r="D15" s="32"/>
    </row>
    <row r="16" customFormat="false" ht="15" hidden="false" customHeight="false" outlineLevel="0" collapsed="false">
      <c r="C16" s="32"/>
      <c r="D16" s="32"/>
    </row>
    <row r="17" customFormat="false" ht="15" hidden="false" customHeight="false" outlineLevel="0" collapsed="false">
      <c r="C17" s="32"/>
      <c r="D17" s="32"/>
    </row>
    <row r="18" customFormat="false" ht="15" hidden="false" customHeight="false" outlineLevel="0" collapsed="false">
      <c r="C18" s="32"/>
      <c r="D18" s="32"/>
    </row>
    <row r="19" customFormat="false" ht="15" hidden="false" customHeight="false" outlineLevel="0" collapsed="false">
      <c r="C19" s="32"/>
      <c r="D19" s="32"/>
    </row>
    <row r="20" customFormat="false" ht="15" hidden="false" customHeight="false" outlineLevel="0" collapsed="false">
      <c r="C20" s="32"/>
      <c r="D20" s="32"/>
    </row>
    <row r="22" customFormat="false" ht="15" hidden="false" customHeight="false" outlineLevel="0" collapsed="false">
      <c r="C22" s="33" t="str">
        <f aca="false">IF(AND(C8&lt;&gt;"0.0",C10&lt;&gt;"0"),"Note: tool-argument extraction is most reliable at temperature 0. You set "&amp;C8&amp;".","")</f>
        <v/>
      </c>
      <c r="D22" s="33"/>
    </row>
    <row r="23" customFormat="false" ht="15" hidden="false" customHeight="false" outlineLevel="0" collapsed="false">
      <c r="C23" s="33"/>
      <c r="D23" s="33"/>
    </row>
  </sheetData>
  <mergeCells count="3">
    <mergeCell ref="C7:D7"/>
    <mergeCell ref="C13:D20"/>
    <mergeCell ref="C22:D23"/>
  </mergeCells>
  <dataValidations count="5">
    <dataValidation allowBlank="false" errorStyle="stop" operator="between" showDropDown="false" showErrorMessage="false" showInputMessage="false" sqref="C7" type="list">
      <formula1>"amazon.nova-lite-v1:0,us.anthropic.claude-3-5-haiku-20241022-v1:0,us.anthropic.claude-3-7-sonnet-20250219-v1:0"</formula1>
      <formula2>0</formula2>
    </dataValidation>
    <dataValidation allowBlank="false" errorStyle="stop" operator="between" showDropDown="false" showErrorMessage="false" showInputMessage="false" sqref="C8" type="list">
      <formula1>"0.0,0.3,0.7,1.0"</formula1>
      <formula2>0</formula2>
    </dataValidation>
    <dataValidation allowBlank="false" errorStyle="stop" operator="between" showDropDown="false" showErrorMessage="false" showInputMessage="false" sqref="C9" type="list">
      <formula1>"256,512,1024"</formula1>
      <formula2>0</formula2>
    </dataValidation>
    <dataValidation allowBlank="false" errorStyle="stop" operator="between" showDropDown="false" showErrorMessage="false" showInputMessage="false" sqref="C10" type="list">
      <formula1>"0,1,2,3"</formula1>
      <formula2>0</formula2>
    </dataValidation>
    <dataValidation allowBlank="false" errorStyle="stop" operator="between" showDropDown="false" showErrorMessage="false" showInputMessage="false" sqref="C11" type="list">
      <formula1>"grounded (tool-only),none"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2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8"/>
    <col collapsed="false" customWidth="true" hidden="false" outlineLevel="0" max="3" min="3" style="1" width="26"/>
    <col collapsed="false" customWidth="true" hidden="false" outlineLevel="0" max="5" min="4" style="1" width="40"/>
  </cols>
  <sheetData>
    <row r="2" customFormat="false" ht="15" hidden="false" customHeight="false" outlineLevel="0" collapsed="false">
      <c r="B2" s="2" t="s">
        <v>152</v>
      </c>
    </row>
    <row r="3" customFormat="false" ht="19.7" hidden="false" customHeight="false" outlineLevel="0" collapsed="false">
      <c r="B3" s="3" t="s">
        <v>153</v>
      </c>
    </row>
    <row r="5" customFormat="false" ht="15" hidden="false" customHeight="false" outlineLevel="0" collapsed="false">
      <c r="B5" s="4" t="s">
        <v>154</v>
      </c>
    </row>
    <row r="7" customFormat="false" ht="15" hidden="false" customHeight="false" outlineLevel="0" collapsed="false">
      <c r="B7" s="12" t="s">
        <v>155</v>
      </c>
      <c r="C7" s="5" t="s">
        <v>127</v>
      </c>
    </row>
    <row r="8" customFormat="false" ht="15" hidden="false" customHeight="false" outlineLevel="0" collapsed="false">
      <c r="B8" s="12" t="s">
        <v>156</v>
      </c>
      <c r="C8" s="5" t="s">
        <v>157</v>
      </c>
    </row>
    <row r="9" customFormat="false" ht="15" hidden="false" customHeight="false" outlineLevel="0" collapsed="false">
      <c r="B9" s="12" t="s">
        <v>158</v>
      </c>
      <c r="C9" s="5" t="s">
        <v>127</v>
      </c>
    </row>
    <row r="11" customFormat="false" ht="15" hidden="false" customHeight="false" outlineLevel="0" collapsed="false">
      <c r="B11" s="21" t="s">
        <v>159</v>
      </c>
      <c r="C11" s="22" t="str">
        <f aca="false">IF(OR(C7="Yes",C9="Yes"),"Hand-built Converse loop  (you own every step)","Managed agent  (invoke_agent — AWS owns the loop)")</f>
        <v>Managed agent  (invoke_agent — AWS owns the loop)</v>
      </c>
      <c r="D11" s="22"/>
      <c r="E11" s="22"/>
    </row>
    <row r="14" customFormat="false" ht="15" hidden="false" customHeight="false" outlineLevel="0" collapsed="false">
      <c r="B14" s="12" t="s">
        <v>160</v>
      </c>
    </row>
    <row r="15" customFormat="false" ht="15" hidden="false" customHeight="false" outlineLevel="0" collapsed="false">
      <c r="A15" s="8"/>
      <c r="B15" s="8" t="s">
        <v>161</v>
      </c>
      <c r="C15" s="8" t="s">
        <v>162</v>
      </c>
    </row>
    <row r="16" customFormat="false" ht="24" hidden="false" customHeight="true" outlineLevel="0" collapsed="false">
      <c r="B16" s="9" t="s">
        <v>163</v>
      </c>
      <c r="C16" s="30" t="s">
        <v>164</v>
      </c>
      <c r="D16" s="30" t="s">
        <v>165</v>
      </c>
      <c r="E16" s="30"/>
    </row>
    <row r="17" customFormat="false" ht="24" hidden="false" customHeight="true" outlineLevel="0" collapsed="false">
      <c r="B17" s="9" t="s">
        <v>166</v>
      </c>
      <c r="C17" s="30" t="s">
        <v>167</v>
      </c>
      <c r="D17" s="30" t="s">
        <v>168</v>
      </c>
      <c r="E17" s="30"/>
    </row>
    <row r="18" customFormat="false" ht="24" hidden="false" customHeight="true" outlineLevel="0" collapsed="false">
      <c r="B18" s="9" t="s">
        <v>169</v>
      </c>
      <c r="C18" s="30" t="s">
        <v>170</v>
      </c>
      <c r="D18" s="30" t="s">
        <v>171</v>
      </c>
      <c r="E18" s="30"/>
    </row>
    <row r="19" customFormat="false" ht="24" hidden="false" customHeight="true" outlineLevel="0" collapsed="false">
      <c r="B19" s="9" t="s">
        <v>172</v>
      </c>
      <c r="C19" s="30" t="s">
        <v>173</v>
      </c>
      <c r="D19" s="30" t="s">
        <v>174</v>
      </c>
      <c r="E19" s="30"/>
    </row>
    <row r="20" customFormat="false" ht="24" hidden="false" customHeight="true" outlineLevel="0" collapsed="false">
      <c r="B20" s="9" t="s">
        <v>175</v>
      </c>
      <c r="C20" s="30" t="s">
        <v>176</v>
      </c>
      <c r="D20" s="30" t="s">
        <v>177</v>
      </c>
      <c r="E20" s="30"/>
    </row>
  </sheetData>
  <mergeCells count="6">
    <mergeCell ref="C11:E11"/>
    <mergeCell ref="D16:E16"/>
    <mergeCell ref="D17:E17"/>
    <mergeCell ref="D18:E18"/>
    <mergeCell ref="D19:E19"/>
    <mergeCell ref="D20:E20"/>
  </mergeCells>
  <conditionalFormatting sqref="C11:E11">
    <cfRule type="expression" priority="2" aboveAverage="0" equalAverage="0" bottom="0" percent="0" rank="0" text="" dxfId="1">
      <formula>ISNUMBER(SEARCH("Hand-built",C11))</formula>
    </cfRule>
    <cfRule type="expression" priority="3" aboveAverage="0" equalAverage="0" bottom="0" percent="0" rank="0" text="" dxfId="2">
      <formula>ISNUMBER(SEARCH("Managed",C11))</formula>
    </cfRule>
  </conditionalFormatting>
  <dataValidations count="3">
    <dataValidation allowBlank="false" errorStyle="stop" operator="between" showDropDown="false" showErrorMessage="false" showInputMessage="false" sqref="C7" type="list">
      <formula1>"Yes,No"</formula1>
      <formula2>0</formula2>
    </dataValidation>
    <dataValidation allowBlank="false" errorStyle="stop" operator="between" showDropDown="false" showErrorMessage="false" showInputMessage="false" sqref="C8" type="list">
      <formula1>"Yes,No"</formula1>
      <formula2>0</formula2>
    </dataValidation>
    <dataValidation allowBlank="false" errorStyle="stop" operator="between" showDropDown="false" showErrorMessage="false" showInputMessage="false" sqref="C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2026-06-03T02:09:01Z</dcterms:created>
  <dc:creator>openpyxl</dc:creator>
  <dc:description/>
  <dc:language>en-US</dc:language>
  <cp:lastModifiedBy/>
  <dcterms:modified xsi:type="dcterms:W3CDTF">2026-06-03T02:09:01Z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