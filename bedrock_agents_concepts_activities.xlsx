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gent or Model" sheetId="2" state="visible" r:id="rId4"/>
    <sheet name="Component Mapper" sheetId="3" state="visible" r:id="rId5"/>
    <sheet name="ReAct Loop Sim" sheetId="4" state="visible" r:id="rId6"/>
    <sheet name="Trace Authorship" sheetId="5" state="visible" r:id="rId7"/>
    <sheet name="Build-Path Chooser" sheetId="6" state="visible" r:id="rId8"/>
    <sheet name="Prompt Stag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A terminal action is a tool that finishes the goal, e.g. confirm_rebooking. Without one the model has no legal way to end on 'Confirm option-1'.</t>
        </r>
      </text>
    </comment>
  </commentList>
</comments>
</file>

<file path=xl/sharedStrings.xml><?xml version="1.0" encoding="utf-8"?>
<sst xmlns="http://schemas.openxmlformats.org/spreadsheetml/2006/main" count="218" uniqueCount="172">
  <si>
    <t xml:space="preserve">IBS AGENTIC AI PRACTITIONER BOOTCAMP · DAY 3 COMPANION</t>
  </si>
  <si>
    <t xml:space="preserve">How Agents Run on Bedrock — Activity Pack</t>
  </si>
  <si>
    <t xml:space="preserve">No typing needed. Every blue cell is a dropdown; grey cells compute automatically.</t>
  </si>
  <si>
    <t xml:space="preserve">LEGEND</t>
  </si>
  <si>
    <t xml:space="preserve">you pick (dropdown)</t>
  </si>
  <si>
    <t xml:space="preserve">Cells shaded like this are choices. Click the cell, use the dropdown arrow.</t>
  </si>
  <si>
    <t xml:space="preserve">computed</t>
  </si>
  <si>
    <t xml:space="preserve">Grey cells are formulas. They react the moment you change a dropdown.</t>
  </si>
  <si>
    <t xml:space="preserve">Sheet</t>
  </si>
  <si>
    <t xml:space="preserve">What it does</t>
  </si>
  <si>
    <t xml:space="preserve">Agent or Model</t>
  </si>
  <si>
    <t xml:space="preserve">Decide if a job needs a full agent or one model call. Capability matrix.</t>
  </si>
  <si>
    <t xml:space="preserve">Component Mapper</t>
  </si>
  <si>
    <t xml:space="preserve">Pick a requirement, get the Bedrock component that handles it.</t>
  </si>
  <si>
    <t xml:space="preserve">ReAct Loop Sim</t>
  </si>
  <si>
    <t xml:space="preserve">Run the orchestration loop turn-by-turn. Watch the happy path and the infinite loop.</t>
  </si>
  <si>
    <t xml:space="preserve">Trace Authorship</t>
  </si>
  <si>
    <t xml:space="preserve">Self-grading quiz: who wrote each trace field — model, orchestrator, or your Lambda?</t>
  </si>
  <si>
    <t xml:space="preserve">Build-Path Chooser</t>
  </si>
  <si>
    <t xml:space="preserve">Agent Builder vs Strands vs AgentCore for your use case.</t>
  </si>
  <si>
    <t xml:space="preserve">Prompt Stages</t>
  </si>
  <si>
    <t xml:space="preserve">Toggle the 4 prompt stages; see exactly what executes and in what order.</t>
  </si>
  <si>
    <t xml:space="preserve">THE CORE IDEA  ·  AN AGENT IS A LOOP, NOT A MODEL</t>
  </si>
  <si>
    <t xml:space="preserve">Do I need an agent, or just a model?</t>
  </si>
  <si>
    <t xml:space="preserve">Answer the four questions. The verdict updates live.</t>
  </si>
  <si>
    <t xml:space="preserve">Does the task need to call tools or APIs (act in the world)?</t>
  </si>
  <si>
    <t xml:space="preserve">No</t>
  </si>
  <si>
    <t xml:space="preserve">Does it need several reasoning steps to finish?</t>
  </si>
  <si>
    <t xml:space="preserve">Must it remember context across separate calls?</t>
  </si>
  <si>
    <t xml:space="preserve">Is it just a one-shot text transform (summarize, classify)?</t>
  </si>
  <si>
    <t xml:space="preserve">VERDICT</t>
  </si>
  <si>
    <t xml:space="preserve">Capability matrix</t>
  </si>
  <si>
    <t xml:space="preserve">Capability</t>
  </si>
  <si>
    <t xml:space="preserve">Bare model</t>
  </si>
  <si>
    <t xml:space="preserve">Agent (model+loop)</t>
  </si>
  <si>
    <t xml:space="preserve">Reason about text</t>
  </si>
  <si>
    <t xml:space="preserve">✓</t>
  </si>
  <si>
    <t xml:space="preserve">Call a tool / act in the world</t>
  </si>
  <si>
    <t xml:space="preserve">✗</t>
  </si>
  <si>
    <t xml:space="preserve">Remember across calls</t>
  </si>
  <si>
    <t xml:space="preserve">✓  (session/memory)</t>
  </si>
  <si>
    <t xml:space="preserve">Run a loop until done</t>
  </si>
  <si>
    <t xml:space="preserve">✓  (orchestrator)</t>
  </si>
  <si>
    <t xml:space="preserve">Stateless by itself</t>
  </si>
  <si>
    <t xml:space="preserve">model is, the runtime is not</t>
  </si>
  <si>
    <t xml:space="preserve">Run a function / call an API</t>
  </si>
  <si>
    <t xml:space="preserve">THE MOVING PARTS  ·  THE BEDROCK COMPONENT MAP</t>
  </si>
  <si>
    <t xml:space="preserve">Answer from my PDFs and policies</t>
  </si>
  <si>
    <t xml:space="preserve">Match the job to the component</t>
  </si>
  <si>
    <t xml:space="preserve">Block or redact PII</t>
  </si>
  <si>
    <t xml:space="preserve">Refuse unsafe or off-limits topics</t>
  </si>
  <si>
    <t xml:space="preserve">Pick what you need to do; the right Bedrock component and why appear automatically.</t>
  </si>
  <si>
    <t xml:space="preserve">Remember context within one task</t>
  </si>
  <si>
    <t xml:space="preserve">Recall a returning customer</t>
  </si>
  <si>
    <t xml:space="preserve">I need to...</t>
  </si>
  <si>
    <t xml:space="preserve">Grant least-privilege permissions</t>
  </si>
  <si>
    <t xml:space="preserve">See what happened (debug)</t>
  </si>
  <si>
    <t xml:space="preserve">Component</t>
  </si>
  <si>
    <t xml:space="preserve">Decide the next step / pick a tool</t>
  </si>
  <si>
    <t xml:space="preserve">Why</t>
  </si>
  <si>
    <t xml:space="preserve">Run the loop and coordinate</t>
  </si>
  <si>
    <t xml:space="preserve">Full map (reference)</t>
  </si>
  <si>
    <t xml:space="preserve">Action Group</t>
  </si>
  <si>
    <t xml:space="preserve">A tool backed by a Lambda; the model picks it and fills the args.</t>
  </si>
  <si>
    <t xml:space="preserve">Knowledge Base (RAG)</t>
  </si>
  <si>
    <t xml:space="preserve">Retrieval over your documents; grounded answers, no retraining.</t>
  </si>
  <si>
    <t xml:space="preserve">Guardrail</t>
  </si>
  <si>
    <t xml:space="preserve">Screens input and output independently of the prompt.</t>
  </si>
  <si>
    <t xml:space="preserve">Denied-topics and content filters set in plain language.</t>
  </si>
  <si>
    <t xml:space="preserve">Session (short-term)</t>
  </si>
  <si>
    <t xml:space="preserve">The running conversation, re-sent every turn; expires on idle TTL.</t>
  </si>
  <si>
    <t xml:space="preserve">Memory (long-term)</t>
  </si>
  <si>
    <t xml:space="preserve">A summary that survives across sessions; opt-in, a privacy choice.</t>
  </si>
  <si>
    <t xml:space="preserve">IAM role</t>
  </si>
  <si>
    <t xml:space="preserve">Scopes exactly what the agent may invoke; no static keys.</t>
  </si>
  <si>
    <t xml:space="preserve">Traces</t>
  </si>
  <si>
    <t xml:space="preserve">THINK/ACT/OBSERVE per turn; your main debugging surface.</t>
  </si>
  <si>
    <t xml:space="preserve">Foundation Model</t>
  </si>
  <si>
    <t xml:space="preserve">The brain: reasons and requests an action or a final answer.</t>
  </si>
  <si>
    <t xml:space="preserve">Orchestrator</t>
  </si>
  <si>
    <t xml:space="preserve">The managed loop that assembles the prompt and dispatches tools.</t>
  </si>
  <si>
    <t xml:space="preserve">THE ORCHESTRATOR  ·  REASON -&gt; ACT -&gt; OBSERVE -&gt; REPEAT</t>
  </si>
  <si>
    <t xml:space="preserve">Run the loop turn by turn</t>
  </si>
  <si>
    <t xml:space="preserve">Set the four dropdowns. Toggle 'Terminal action' off on 'Confirm option-1' to reproduce the infinite loop.</t>
  </si>
  <si>
    <t xml:space="preserve">User goal</t>
  </si>
  <si>
    <t xml:space="preserve">Disruption + rebook</t>
  </si>
  <si>
    <t xml:space="preserve">scenario key</t>
  </si>
  <si>
    <t xml:space="preserve">Terminal action available?</t>
  </si>
  <si>
    <t xml:space="preserve">Yes</t>
  </si>
  <si>
    <t xml:space="preserve">turns used</t>
  </si>
  <si>
    <t xml:space="preserve">Decoding (topK)</t>
  </si>
  <si>
    <t xml:space="preserve">1 (greedy)</t>
  </si>
  <si>
    <t xml:space="preserve">Loop cap (max turns)</t>
  </si>
  <si>
    <t xml:space="preserve">OUTCOME</t>
  </si>
  <si>
    <t xml:space="preserve">Turn</t>
  </si>
  <si>
    <t xml:space="preserve">Model action (thought -&gt; action)</t>
  </si>
  <si>
    <t xml:space="preserve">stopReason</t>
  </si>
  <si>
    <t xml:space="preserve">Simple status</t>
  </si>
  <si>
    <t xml:space="preserve">lookup_booking(pnr)</t>
  </si>
  <si>
    <t xml:space="preserve">FINAL: status returned</t>
  </si>
  <si>
    <t xml:space="preserve">get_disruption_reason(pnr)</t>
  </si>
  <si>
    <t xml:space="preserve">get_rebooking_options(pnr)</t>
  </si>
  <si>
    <t xml:space="preserve">FINAL: 2 rebooking options</t>
  </si>
  <si>
    <t xml:space="preserve">ConfirmTerminal</t>
  </si>
  <si>
    <t xml:space="preserve">confirm_rebooking(pnr, flight)</t>
  </si>
  <si>
    <t xml:space="preserve">FINAL: booking confirmed</t>
  </si>
  <si>
    <t xml:space="preserve">ConfirmLoop</t>
  </si>
  <si>
    <t xml:space="preserve">READING A BEDROCK TRACE  ·  THE ONE RULE</t>
  </si>
  <si>
    <t xml:space="preserve">Who authored each trace field?</t>
  </si>
  <si>
    <t xml:space="preserve">Guess the author from the dropdown. The model wrote only one of these. Score updates live.</t>
  </si>
  <si>
    <t xml:space="preserve">Trace field</t>
  </si>
  <si>
    <t xml:space="preserve">Your guess</t>
  </si>
  <si>
    <t xml:space="preserve">Result</t>
  </si>
  <si>
    <t xml:space="preserve">modelInvocationInput</t>
  </si>
  <si>
    <t xml:space="preserve">inferenceConfiguration</t>
  </si>
  <si>
    <t xml:space="preserve">modelInvocationOutput.rawResponse</t>
  </si>
  <si>
    <t xml:space="preserve">Model</t>
  </si>
  <si>
    <t xml:space="preserve">rationale (the &lt;thinking&gt; block)</t>
  </si>
  <si>
    <t xml:space="preserve">actionGroupInvocationInput</t>
  </si>
  <si>
    <t xml:space="preserve">actionGroupInvocationOutput</t>
  </si>
  <si>
    <t xml:space="preserve">Your Lambda</t>
  </si>
  <si>
    <t xml:space="preserve">observation (assembled)</t>
  </si>
  <si>
    <t xml:space="preserve">failureTrace</t>
  </si>
  <si>
    <t xml:space="preserve">SCORE</t>
  </si>
  <si>
    <t xml:space="preserve">THREE WAYS TO BUILD  ·  WHO OWNS THE LOOP?</t>
  </si>
  <si>
    <t xml:space="preserve">Agent Builder vs Strands vs AgentCore</t>
  </si>
  <si>
    <t xml:space="preserve">Four dropdowns pick the right approach. The cleanest tell: who owns the loop?</t>
  </si>
  <si>
    <t xml:space="preserve">Time-to-value priority</t>
  </si>
  <si>
    <t xml:space="preserve">High</t>
  </si>
  <si>
    <t xml:space="preserve">Need custom loop logic or multi-agent?</t>
  </si>
  <si>
    <t xml:space="preserve">Need scale, session isolation, security?</t>
  </si>
  <si>
    <t xml:space="preserve">Need framework freedom / portability?</t>
  </si>
  <si>
    <t xml:space="preserve">RECOMMENDATION</t>
  </si>
  <si>
    <t xml:space="preserve">Side by side (reference)</t>
  </si>
  <si>
    <t xml:space="preserve">Agent Builder</t>
  </si>
  <si>
    <t xml:space="preserve">Strands</t>
  </si>
  <si>
    <t xml:space="preserve">AgentCore</t>
  </si>
  <si>
    <t xml:space="preserve">What it is</t>
  </si>
  <si>
    <t xml:space="preserve">Managed agent service</t>
  </si>
  <si>
    <t xml:space="preserve">Open-source agent SDK</t>
  </si>
  <si>
    <t xml:space="preserve">Framework-agnostic runtime</t>
  </si>
  <si>
    <t xml:space="preserve">Owns the loop</t>
  </si>
  <si>
    <t xml:space="preserve">AWS, server-side</t>
  </si>
  <si>
    <t xml:space="preserve">Your code</t>
  </si>
  <si>
    <t xml:space="preserve">Hosts any framework's loop</t>
  </si>
  <si>
    <t xml:space="preserve">Where it runs</t>
  </si>
  <si>
    <t xml:space="preserve">Bedrock-managed</t>
  </si>
  <si>
    <t xml:space="preserve">Anywhere you run Python</t>
  </si>
  <si>
    <t xml:space="preserve">AgentCore Runtime (serverless)</t>
  </si>
  <si>
    <t xml:space="preserve">Model choice</t>
  </si>
  <si>
    <t xml:space="preserve">Bedrock models</t>
  </si>
  <si>
    <t xml:space="preserve">Any provider</t>
  </si>
  <si>
    <t xml:space="preserve">Set by your framework</t>
  </si>
  <si>
    <t xml:space="preserve">Best for</t>
  </si>
  <si>
    <t xml:space="preserve">Bounded RAG + tools</t>
  </si>
  <si>
    <t xml:space="preserve">Custom / multi-agent</t>
  </si>
  <si>
    <t xml:space="preserve">Enterprise scale + security</t>
  </si>
  <si>
    <t xml:space="preserve">HOW BEDROCK WRAPS THE MODEL  ·  UP TO FOUR STAGES</t>
  </si>
  <si>
    <t xml:space="preserve">Configure the prompt stages</t>
  </si>
  <si>
    <t xml:space="preserve">Toggle the optional stages. Orchestration is the only one that loops; it is always on.</t>
  </si>
  <si>
    <t xml:space="preserve">1 · Pre-processing</t>
  </si>
  <si>
    <t xml:space="preserve">Off</t>
  </si>
  <si>
    <t xml:space="preserve">Validate and classify the input; can catch malicious prompts.</t>
  </si>
  <si>
    <t xml:space="preserve">2 · Orchestration</t>
  </si>
  <si>
    <t xml:space="preserve">Always On</t>
  </si>
  <si>
    <t xml:space="preserve">The ReAct loop: think, call a tool, observe, repeat. The main event.</t>
  </si>
  <si>
    <t xml:space="preserve">3 · KB response generation</t>
  </si>
  <si>
    <t xml:space="preserve">Turn retrieved knowledge chunks into a grounded draft answer.</t>
  </si>
  <si>
    <t xml:space="preserve">4 · Post-processing</t>
  </si>
  <si>
    <t xml:space="preserve">Polish or reformat the final reply. Off by default.</t>
  </si>
  <si>
    <t xml:space="preserve">WHAT EXECUTES, IN ORDER</t>
  </si>
  <si>
    <t xml:space="preserve">Stages active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</si>
</sst>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sz val="10.5"/>
      <color rgb="FF6B72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.5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name val="Arial"/>
      <family val="2"/>
    </font>
    <font>
      <b val="true"/>
      <sz val="10.5"/>
      <color rgb="FFB4530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D6"/>
        <bgColor rgb="FFFEF3C7"/>
      </patternFill>
    </fill>
    <fill>
      <patternFill patternType="solid">
        <fgColor rgb="FFEEF2F7"/>
        <bgColor rgb="FFDCFCE7"/>
      </patternFill>
    </fill>
    <fill>
      <patternFill patternType="solid">
        <fgColor rgb="FFB45309"/>
        <bgColor rgb="FF92400E"/>
      </patternFill>
    </fill>
    <fill>
      <patternFill patternType="solid">
        <fgColor rgb="FFFBE5D2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B45309"/>
      </font>
      <fill>
        <patternFill>
          <bgColor rgb="FFFBE5D2"/>
        </patternFill>
      </fill>
    </dxf>
    <dxf>
      <font>
        <name val="Arial"/>
        <charset val="1"/>
        <family val="0"/>
        <b val="1"/>
        <color rgb="FF1F2937"/>
      </font>
      <fill>
        <patternFill>
          <bgColor rgb="FFEEF2F7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EE2E2"/>
      <rgbColor rgb="FFFFF1D6"/>
      <rgbColor rgb="FF99CCFF"/>
      <rgbColor rgb="FFFF99CC"/>
      <rgbColor rgb="FFCC99FF"/>
      <rgbColor rgb="FFFBE5D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74"/>
  </cols>
  <sheetData>
    <row r="2" customFormat="false" ht="15" hidden="false" customHeight="false" outlineLevel="0" collapsed="false">
      <c r="B2" s="2" t="s">
        <v>0</v>
      </c>
    </row>
    <row r="3" customFormat="false" ht="19.7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7" customFormat="false" ht="15" hidden="false" customHeight="false" outlineLevel="0" collapsed="false">
      <c r="B7" s="5" t="s">
        <v>3</v>
      </c>
    </row>
    <row r="8" customFormat="false" ht="15" hidden="false" customHeight="false" outlineLevel="0" collapsed="false">
      <c r="B8" s="6" t="s">
        <v>4</v>
      </c>
      <c r="C8" s="7" t="s">
        <v>5</v>
      </c>
    </row>
    <row r="9" customFormat="false" ht="15" hidden="false" customHeight="false" outlineLevel="0" collapsed="false">
      <c r="B9" s="8" t="s">
        <v>6</v>
      </c>
      <c r="C9" s="7" t="s">
        <v>7</v>
      </c>
    </row>
    <row r="11" customFormat="false" ht="30" hidden="false" customHeight="true" outlineLevel="0" collapsed="false">
      <c r="A11" s="9" t="s">
        <v>8</v>
      </c>
      <c r="B11" s="9" t="s">
        <v>9</v>
      </c>
    </row>
    <row r="12" customFormat="false" ht="30" hidden="false" customHeight="true" outlineLevel="0" collapsed="false">
      <c r="B12" s="10" t="s">
        <v>10</v>
      </c>
      <c r="C12" s="11" t="s">
        <v>11</v>
      </c>
    </row>
    <row r="13" customFormat="false" ht="30" hidden="false" customHeight="true" outlineLevel="0" collapsed="false">
      <c r="B13" s="10" t="s">
        <v>12</v>
      </c>
      <c r="C13" s="11" t="s">
        <v>13</v>
      </c>
    </row>
    <row r="14" customFormat="false" ht="30" hidden="false" customHeight="true" outlineLevel="0" collapsed="false">
      <c r="B14" s="10" t="s">
        <v>14</v>
      </c>
      <c r="C14" s="11" t="s">
        <v>15</v>
      </c>
    </row>
    <row r="15" customFormat="false" ht="30" hidden="false" customHeight="true" outlineLevel="0" collapsed="false">
      <c r="B15" s="10" t="s">
        <v>16</v>
      </c>
      <c r="C15" s="11" t="s">
        <v>17</v>
      </c>
    </row>
    <row r="16" customFormat="false" ht="30" hidden="false" customHeight="true" outlineLevel="0" collapsed="false">
      <c r="B16" s="10" t="s">
        <v>18</v>
      </c>
      <c r="C16" s="11" t="s">
        <v>19</v>
      </c>
    </row>
    <row r="17" customFormat="false" ht="30" hidden="false" customHeight="true" outlineLevel="0" collapsed="false">
      <c r="B17" s="10" t="s">
        <v>20</v>
      </c>
      <c r="C17" s="1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40"/>
  </cols>
  <sheetData>
    <row r="2" customFormat="false" ht="15" hidden="false" customHeight="false" outlineLevel="0" collapsed="false">
      <c r="B2" s="2" t="s">
        <v>22</v>
      </c>
    </row>
    <row r="3" customFormat="false" ht="19.7" hidden="false" customHeight="false" outlineLevel="0" collapsed="false">
      <c r="B3" s="3" t="s">
        <v>23</v>
      </c>
    </row>
    <row r="5" customFormat="false" ht="15" hidden="false" customHeight="false" outlineLevel="0" collapsed="false">
      <c r="B5" s="4" t="s">
        <v>24</v>
      </c>
    </row>
    <row r="7" customFormat="false" ht="15" hidden="false" customHeight="false" outlineLevel="0" collapsed="false">
      <c r="B7" s="5" t="s">
        <v>25</v>
      </c>
      <c r="C7" s="6" t="s">
        <v>26</v>
      </c>
    </row>
    <row r="8" customFormat="false" ht="15" hidden="false" customHeight="false" outlineLevel="0" collapsed="false">
      <c r="B8" s="5" t="s">
        <v>27</v>
      </c>
      <c r="C8" s="6" t="s">
        <v>26</v>
      </c>
    </row>
    <row r="9" customFormat="false" ht="15" hidden="false" customHeight="false" outlineLevel="0" collapsed="false">
      <c r="B9" s="5" t="s">
        <v>28</v>
      </c>
      <c r="C9" s="6" t="s">
        <v>26</v>
      </c>
    </row>
    <row r="10" customFormat="false" ht="15" hidden="false" customHeight="false" outlineLevel="0" collapsed="false">
      <c r="B10" s="5" t="s">
        <v>29</v>
      </c>
      <c r="C10" s="6" t="s">
        <v>26</v>
      </c>
    </row>
    <row r="12" customFormat="false" ht="15" hidden="false" customHeight="false" outlineLevel="0" collapsed="false">
      <c r="B12" s="12" t="s">
        <v>30</v>
      </c>
      <c r="C12" s="13" t="str">
        <f aca="false">IF(OR(C7="Yes",C8="Yes",C9="Yes"),"Build an AGENT  (model + tools + loop)","A single MODEL call is enough")</f>
        <v>A single MODEL call is enough</v>
      </c>
      <c r="D12" s="13"/>
    </row>
    <row r="13" customFormat="false" ht="15" hidden="false" customHeight="false" outlineLevel="0" collapsed="false">
      <c r="C13" s="14" t="str">
        <f aca="false">IF(OR(C7="Yes",C8="Yes",C9="Yes"),"The LLM is the brain; the agent is brain + tools + a loop that drives it.","One input in, one output out. No loop, no tools, no memory needed.")</f>
        <v>One input in, one output out. No loop, no tools, no memory needed.</v>
      </c>
      <c r="D13" s="14"/>
    </row>
    <row r="14" customFormat="false" ht="15" hidden="false" customHeight="false" outlineLevel="0" collapsed="false">
      <c r="C14" s="14"/>
      <c r="D14" s="14"/>
    </row>
    <row r="16" customFormat="false" ht="15" hidden="false" customHeight="false" outlineLevel="0" collapsed="false">
      <c r="B16" s="5" t="s">
        <v>31</v>
      </c>
    </row>
    <row r="17" customFormat="false" ht="97" hidden="false" customHeight="false" outlineLevel="0" collapsed="false">
      <c r="A17" s="9" t="s">
        <v>32</v>
      </c>
      <c r="B17" s="9" t="s">
        <v>33</v>
      </c>
      <c r="C17" s="9" t="s">
        <v>34</v>
      </c>
    </row>
    <row r="18" customFormat="false" ht="15" hidden="false" customHeight="false" outlineLevel="0" collapsed="false">
      <c r="B18" s="15" t="s">
        <v>35</v>
      </c>
      <c r="C18" s="16" t="s">
        <v>36</v>
      </c>
      <c r="D18" s="16" t="s">
        <v>36</v>
      </c>
    </row>
    <row r="19" customFormat="false" ht="15" hidden="false" customHeight="false" outlineLevel="0" collapsed="false">
      <c r="B19" s="15" t="s">
        <v>37</v>
      </c>
      <c r="C19" s="16" t="s">
        <v>38</v>
      </c>
      <c r="D19" s="16" t="s">
        <v>36</v>
      </c>
    </row>
    <row r="20" customFormat="false" ht="15" hidden="false" customHeight="false" outlineLevel="0" collapsed="false">
      <c r="B20" s="15" t="s">
        <v>39</v>
      </c>
      <c r="C20" s="16" t="s">
        <v>38</v>
      </c>
      <c r="D20" s="16" t="s">
        <v>40</v>
      </c>
    </row>
    <row r="21" customFormat="false" ht="15" hidden="false" customHeight="false" outlineLevel="0" collapsed="false">
      <c r="B21" s="15" t="s">
        <v>41</v>
      </c>
      <c r="C21" s="16" t="s">
        <v>38</v>
      </c>
      <c r="D21" s="16" t="s">
        <v>42</v>
      </c>
    </row>
    <row r="22" customFormat="false" ht="15" hidden="false" customHeight="false" outlineLevel="0" collapsed="false">
      <c r="B22" s="15" t="s">
        <v>43</v>
      </c>
      <c r="C22" s="16" t="s">
        <v>36</v>
      </c>
      <c r="D22" s="16" t="s">
        <v>44</v>
      </c>
    </row>
  </sheetData>
  <mergeCells count="2">
    <mergeCell ref="C12:D12"/>
    <mergeCell ref="C13:D14"/>
  </mergeCells>
  <conditionalFormatting sqref="C12:D12">
    <cfRule type="expression" priority="2" aboveAverage="0" equalAverage="0" bottom="0" percent="0" rank="0" text="" dxfId="0">
      <formula>ISNUMBER(SEARCH("AGENT",C12))</formula>
    </cfRule>
    <cfRule type="expression" priority="3" aboveAverage="0" equalAverage="0" bottom="0" percent="0" rank="0" text="" dxfId="1">
      <formula>ISNUMBER(SEARCH("MODEL",C12))</formula>
    </cfRule>
  </conditionalFormatting>
  <dataValidations count="4"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B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30"/>
    <col collapsed="false" customWidth="true" hidden="false" outlineLevel="0" max="4" min="4" style="1" width="58"/>
    <col collapsed="false" customWidth="true" hidden="true" outlineLevel="0" max="61" min="61" style="1" width="13"/>
  </cols>
  <sheetData>
    <row r="1" customFormat="false" ht="15" hidden="false" customHeight="false" outlineLevel="0" collapsed="false">
      <c r="BI1" s="1" t="s">
        <v>45</v>
      </c>
    </row>
    <row r="2" customFormat="false" ht="15" hidden="false" customHeight="false" outlineLevel="0" collapsed="false">
      <c r="B2" s="2" t="s">
        <v>46</v>
      </c>
      <c r="BI2" s="17" t="s">
        <v>47</v>
      </c>
    </row>
    <row r="3" customFormat="false" ht="19.7" hidden="false" customHeight="false" outlineLevel="0" collapsed="false">
      <c r="B3" s="3" t="s">
        <v>48</v>
      </c>
      <c r="BI3" s="17" t="s">
        <v>49</v>
      </c>
    </row>
    <row r="4" customFormat="false" ht="15" hidden="false" customHeight="false" outlineLevel="0" collapsed="false">
      <c r="BI4" s="1" t="s">
        <v>50</v>
      </c>
    </row>
    <row r="5" customFormat="false" ht="15" hidden="false" customHeight="false" outlineLevel="0" collapsed="false">
      <c r="B5" s="4" t="s">
        <v>51</v>
      </c>
      <c r="BI5" s="17" t="s">
        <v>52</v>
      </c>
    </row>
    <row r="6" customFormat="false" ht="15" hidden="false" customHeight="false" outlineLevel="0" collapsed="false">
      <c r="BI6" s="1" t="s">
        <v>53</v>
      </c>
    </row>
    <row r="7" customFormat="false" ht="15" hidden="false" customHeight="false" outlineLevel="0" collapsed="false">
      <c r="B7" s="5" t="s">
        <v>54</v>
      </c>
      <c r="C7" s="6" t="s">
        <v>45</v>
      </c>
      <c r="BI7" s="17" t="s">
        <v>55</v>
      </c>
    </row>
    <row r="8" customFormat="false" ht="15" hidden="false" customHeight="false" outlineLevel="0" collapsed="false">
      <c r="BI8" s="1" t="s">
        <v>56</v>
      </c>
    </row>
    <row r="9" customFormat="false" ht="15" hidden="false" customHeight="false" outlineLevel="0" collapsed="false">
      <c r="B9" s="5" t="s">
        <v>57</v>
      </c>
      <c r="C9" s="8" t="str">
        <f aca="false">VLOOKUP(C7,$B$16:$D$25,2,FALSE())</f>
        <v>Action Group</v>
      </c>
      <c r="D9" s="8"/>
      <c r="BI9" s="17" t="s">
        <v>58</v>
      </c>
    </row>
    <row r="10" customFormat="false" ht="15" hidden="false" customHeight="false" outlineLevel="0" collapsed="false">
      <c r="B10" s="5" t="s">
        <v>59</v>
      </c>
      <c r="C10" s="18" t="str">
        <f aca="false">VLOOKUP(C7,$B$16:$D$25,3,FALSE())</f>
        <v>A tool backed by a Lambda; the model picks it and fills the args.</v>
      </c>
      <c r="D10" s="18"/>
      <c r="BI10" s="17" t="s">
        <v>60</v>
      </c>
    </row>
    <row r="11" customFormat="false" ht="15" hidden="false" customHeight="false" outlineLevel="0" collapsed="false">
      <c r="C11" s="18"/>
      <c r="D11" s="18"/>
    </row>
    <row r="14" customFormat="false" ht="15" hidden="false" customHeight="false" outlineLevel="0" collapsed="false">
      <c r="B14" s="5" t="s">
        <v>61</v>
      </c>
    </row>
    <row r="15" customFormat="false" ht="108.95" hidden="false" customHeight="false" outlineLevel="0" collapsed="false">
      <c r="A15" s="9" t="s">
        <v>54</v>
      </c>
      <c r="B15" s="9" t="s">
        <v>57</v>
      </c>
      <c r="C15" s="9" t="s">
        <v>59</v>
      </c>
    </row>
    <row r="16" customFormat="false" ht="27.75" hidden="false" customHeight="true" outlineLevel="0" collapsed="false">
      <c r="B16" s="19" t="s">
        <v>45</v>
      </c>
      <c r="C16" s="10" t="s">
        <v>62</v>
      </c>
      <c r="D16" s="11" t="s">
        <v>63</v>
      </c>
    </row>
    <row r="17" customFormat="false" ht="27.75" hidden="false" customHeight="true" outlineLevel="0" collapsed="false">
      <c r="B17" s="19" t="s">
        <v>47</v>
      </c>
      <c r="C17" s="10" t="s">
        <v>64</v>
      </c>
      <c r="D17" s="11" t="s">
        <v>65</v>
      </c>
    </row>
    <row r="18" customFormat="false" ht="27.75" hidden="false" customHeight="true" outlineLevel="0" collapsed="false">
      <c r="B18" s="19" t="s">
        <v>49</v>
      </c>
      <c r="C18" s="10" t="s">
        <v>66</v>
      </c>
      <c r="D18" s="11" t="s">
        <v>67</v>
      </c>
    </row>
    <row r="19" customFormat="false" ht="27.75" hidden="false" customHeight="true" outlineLevel="0" collapsed="false">
      <c r="B19" s="19" t="s">
        <v>50</v>
      </c>
      <c r="C19" s="10" t="s">
        <v>66</v>
      </c>
      <c r="D19" s="11" t="s">
        <v>68</v>
      </c>
    </row>
    <row r="20" customFormat="false" ht="27.75" hidden="false" customHeight="true" outlineLevel="0" collapsed="false">
      <c r="B20" s="19" t="s">
        <v>52</v>
      </c>
      <c r="C20" s="10" t="s">
        <v>69</v>
      </c>
      <c r="D20" s="11" t="s">
        <v>70</v>
      </c>
    </row>
    <row r="21" customFormat="false" ht="27.75" hidden="false" customHeight="true" outlineLevel="0" collapsed="false">
      <c r="B21" s="19" t="s">
        <v>53</v>
      </c>
      <c r="C21" s="10" t="s">
        <v>71</v>
      </c>
      <c r="D21" s="11" t="s">
        <v>72</v>
      </c>
    </row>
    <row r="22" customFormat="false" ht="27.75" hidden="false" customHeight="true" outlineLevel="0" collapsed="false">
      <c r="B22" s="19" t="s">
        <v>55</v>
      </c>
      <c r="C22" s="10" t="s">
        <v>73</v>
      </c>
      <c r="D22" s="11" t="s">
        <v>74</v>
      </c>
    </row>
    <row r="23" customFormat="false" ht="27.75" hidden="false" customHeight="true" outlineLevel="0" collapsed="false">
      <c r="B23" s="19" t="s">
        <v>56</v>
      </c>
      <c r="C23" s="10" t="s">
        <v>75</v>
      </c>
      <c r="D23" s="11" t="s">
        <v>76</v>
      </c>
    </row>
    <row r="24" customFormat="false" ht="27.75" hidden="false" customHeight="true" outlineLevel="0" collapsed="false">
      <c r="B24" s="19" t="s">
        <v>58</v>
      </c>
      <c r="C24" s="10" t="s">
        <v>77</v>
      </c>
      <c r="D24" s="11" t="s">
        <v>78</v>
      </c>
    </row>
    <row r="25" customFormat="false" ht="27.75" hidden="false" customHeight="true" outlineLevel="0" collapsed="false">
      <c r="B25" s="19" t="s">
        <v>60</v>
      </c>
      <c r="C25" s="10" t="s">
        <v>79</v>
      </c>
      <c r="D25" s="11" t="s">
        <v>80</v>
      </c>
    </row>
  </sheetData>
  <mergeCells count="2">
    <mergeCell ref="C9:D9"/>
    <mergeCell ref="C10:D11"/>
  </mergeCells>
  <dataValidations count="1">
    <dataValidation allowBlank="false" errorStyle="stop" operator="between" showDropDown="false" showErrorMessage="false" showInputMessage="false" sqref="C7" type="list">
      <formula1>$BI$1:$BI$10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40"/>
  </cols>
  <sheetData>
    <row r="2" customFormat="false" ht="15" hidden="false" customHeight="false" outlineLevel="0" collapsed="false">
      <c r="B2" s="2" t="s">
        <v>81</v>
      </c>
    </row>
    <row r="3" customFormat="false" ht="19.7" hidden="false" customHeight="false" outlineLevel="0" collapsed="false">
      <c r="B3" s="3" t="s">
        <v>82</v>
      </c>
    </row>
    <row r="5" customFormat="false" ht="15" hidden="false" customHeight="false" outlineLevel="0" collapsed="false">
      <c r="B5" s="4" t="s">
        <v>83</v>
      </c>
    </row>
    <row r="7" customFormat="false" ht="15" hidden="false" customHeight="false" outlineLevel="0" collapsed="false">
      <c r="B7" s="5" t="s">
        <v>84</v>
      </c>
      <c r="C7" s="6" t="s">
        <v>85</v>
      </c>
      <c r="E7" s="20" t="s">
        <v>86</v>
      </c>
      <c r="F7" s="21" t="str">
        <f aca="false">IF(C7="Confirm option-1",IF(C8="Yes","ConfirmTerminal","ConfirmLoop"),C7)</f>
        <v>Disruption + rebook</v>
      </c>
    </row>
    <row r="8" customFormat="false" ht="15" hidden="false" customHeight="false" outlineLevel="0" collapsed="false">
      <c r="B8" s="5" t="s">
        <v>87</v>
      </c>
      <c r="C8" s="6" t="s">
        <v>88</v>
      </c>
      <c r="E8" s="20" t="s">
        <v>89</v>
      </c>
      <c r="F8" s="21" t="n">
        <f aca="false">IF(C7="Simple status",MIN(2,C10),IF(C7="Disruption + rebook",MIN(4,C10),IF(C8="Yes",MIN(2,C10),C10)))</f>
        <v>4</v>
      </c>
    </row>
    <row r="9" customFormat="false" ht="15" hidden="false" customHeight="false" outlineLevel="0" collapsed="false">
      <c r="B9" s="5" t="s">
        <v>90</v>
      </c>
      <c r="C9" s="6" t="s">
        <v>91</v>
      </c>
    </row>
    <row r="10" customFormat="false" ht="15" hidden="false" customHeight="false" outlineLevel="0" collapsed="false">
      <c r="B10" s="5" t="s">
        <v>92</v>
      </c>
      <c r="C10" s="6" t="n">
        <v>8</v>
      </c>
    </row>
    <row r="12" customFormat="false" ht="15" hidden="false" customHeight="false" outlineLevel="0" collapsed="false">
      <c r="B12" s="12" t="s">
        <v>93</v>
      </c>
      <c r="C12" s="22" t="str">
        <f aca="false">IF(C7="Confirm option-1",IF(C8="Yes","Clean exit  ·  confirm_rebooking ran in "&amp;F8&amp;" turns","RUNAWAY LOOP  ·  same call repeats until the cap ("&amp;C10&amp;" turns)"),IF(C10&lt;IF(C7="Simple status",2,4),"Hit the cap before finishing  ·  raise max turns","Clean exit  ·  answered in "&amp;F8&amp;" turns"))</f>
        <v>Clean exit  ·  answered in 4 turns</v>
      </c>
      <c r="D12" s="22"/>
      <c r="E12" s="22"/>
      <c r="F12" s="22"/>
    </row>
    <row r="13" customFormat="false" ht="15" hidden="false" customHeight="false" outlineLevel="0" collapsed="false">
      <c r="C13" s="14" t="str">
        <f aca="false">IF(AND(C7="Confirm option-1",C8="No"),"Cause: no terminal action"&amp;IF(C9="1 (greedy)"," + greedy topK=1 (identical every turn).","")&amp;" Fix: add confirm_rebooking, or instruct a direct final answer.","The model reaches a final answer and the orchestrator stops the loop.")</f>
        <v>The model reaches a final answer and the orchestrator stops the loop.</v>
      </c>
      <c r="D13" s="14"/>
      <c r="E13" s="14"/>
      <c r="F13" s="14"/>
    </row>
    <row r="14" customFormat="false" ht="15" hidden="false" customHeight="false" outlineLevel="0" collapsed="false">
      <c r="C14" s="14"/>
      <c r="D14" s="14"/>
      <c r="E14" s="14"/>
      <c r="F14" s="14"/>
    </row>
    <row r="16" customFormat="false" ht="15" hidden="false" customHeight="false" outlineLevel="0" collapsed="false">
      <c r="B16" s="9" t="s">
        <v>94</v>
      </c>
      <c r="C16" s="9" t="s">
        <v>95</v>
      </c>
      <c r="D16" s="9" t="s">
        <v>96</v>
      </c>
      <c r="E16" s="23"/>
      <c r="F16" s="23"/>
    </row>
    <row r="17" customFormat="false" ht="15" hidden="false" customHeight="false" outlineLevel="0" collapsed="false">
      <c r="B17" s="16" t="n">
        <v>1</v>
      </c>
      <c r="C17" s="19" t="str">
        <f aca="false">IF(B17&gt;$F$8,"—",INDEX($C$41:$L$44,MATCH($F$7,$B$41:$B$44,0),B17))</f>
        <v>lookup_booking(pnr)</v>
      </c>
      <c r="D17" s="19"/>
      <c r="E17" s="16" t="str">
        <f aca="false">IF(B17&gt;$F$8,"—",IF(LEFT(C17,5)="FINAL","end_turn",IF(AND($F$7="ConfirmLoop",B17=$C$10),"CAP HIT -&gt; fallback","tool_use")))</f>
        <v>tool_use</v>
      </c>
      <c r="F17" s="16"/>
    </row>
    <row r="18" customFormat="false" ht="15" hidden="false" customHeight="false" outlineLevel="0" collapsed="false">
      <c r="B18" s="16" t="n">
        <v>2</v>
      </c>
      <c r="C18" s="19" t="str">
        <f aca="false">IF(B18&gt;$F$8,"—",INDEX($C$41:$L$44,MATCH($F$7,$B$41:$B$44,0),B18))</f>
        <v>get_disruption_reason(pnr)</v>
      </c>
      <c r="D18" s="19"/>
      <c r="E18" s="16" t="str">
        <f aca="false">IF(B18&gt;$F$8,"—",IF(LEFT(C18,5)="FINAL","end_turn",IF(AND($F$7="ConfirmLoop",B18=$C$10),"CAP HIT -&gt; fallback","tool_use")))</f>
        <v>tool_use</v>
      </c>
      <c r="F18" s="16"/>
    </row>
    <row r="19" customFormat="false" ht="15" hidden="false" customHeight="false" outlineLevel="0" collapsed="false">
      <c r="B19" s="16" t="n">
        <v>3</v>
      </c>
      <c r="C19" s="19" t="str">
        <f aca="false">IF(B19&gt;$F$8,"—",INDEX($C$41:$L$44,MATCH($F$7,$B$41:$B$44,0),B19))</f>
        <v>get_rebooking_options(pnr)</v>
      </c>
      <c r="D19" s="19"/>
      <c r="E19" s="16" t="str">
        <f aca="false">IF(B19&gt;$F$8,"—",IF(LEFT(C19,5)="FINAL","end_turn",IF(AND($F$7="ConfirmLoop",B19=$C$10),"CAP HIT -&gt; fallback","tool_use")))</f>
        <v>tool_use</v>
      </c>
      <c r="F19" s="16"/>
    </row>
    <row r="20" customFormat="false" ht="15" hidden="false" customHeight="false" outlineLevel="0" collapsed="false">
      <c r="B20" s="16" t="n">
        <v>4</v>
      </c>
      <c r="C20" s="19" t="str">
        <f aca="false">IF(B20&gt;$F$8,"—",INDEX($C$41:$L$44,MATCH($F$7,$B$41:$B$44,0),B20))</f>
        <v>FINAL: 2 rebooking options</v>
      </c>
      <c r="D20" s="19"/>
      <c r="E20" s="16" t="str">
        <f aca="false">IF(B20&gt;$F$8,"—",IF(LEFT(C20,5)="FINAL","end_turn",IF(AND($F$7="ConfirmLoop",B20=$C$10),"CAP HIT -&gt; fallback","tool_use")))</f>
        <v>end_turn</v>
      </c>
      <c r="F20" s="16"/>
    </row>
    <row r="21" customFormat="false" ht="15" hidden="false" customHeight="false" outlineLevel="0" collapsed="false">
      <c r="B21" s="16" t="n">
        <v>5</v>
      </c>
      <c r="C21" s="19" t="str">
        <f aca="false">IF(B21&gt;$F$8,"—",INDEX($C$41:$L$44,MATCH($F$7,$B$41:$B$44,0),B21))</f>
        <v>—</v>
      </c>
      <c r="D21" s="19"/>
      <c r="E21" s="16" t="str">
        <f aca="false">IF(B21&gt;$F$8,"—",IF(LEFT(C21,5)="FINAL","end_turn",IF(AND($F$7="ConfirmLoop",B21=$C$10),"CAP HIT -&gt; fallback","tool_use")))</f>
        <v>—</v>
      </c>
      <c r="F21" s="16"/>
    </row>
    <row r="22" customFormat="false" ht="15" hidden="false" customHeight="false" outlineLevel="0" collapsed="false">
      <c r="B22" s="16" t="n">
        <v>6</v>
      </c>
      <c r="C22" s="19" t="str">
        <f aca="false">IF(B22&gt;$F$8,"—",INDEX($C$41:$L$44,MATCH($F$7,$B$41:$B$44,0),B22))</f>
        <v>—</v>
      </c>
      <c r="D22" s="19"/>
      <c r="E22" s="16" t="str">
        <f aca="false">IF(B22&gt;$F$8,"—",IF(LEFT(C22,5)="FINAL","end_turn",IF(AND($F$7="ConfirmLoop",B22=$C$10),"CAP HIT -&gt; fallback","tool_use")))</f>
        <v>—</v>
      </c>
      <c r="F22" s="16"/>
    </row>
    <row r="23" customFormat="false" ht="15" hidden="false" customHeight="false" outlineLevel="0" collapsed="false">
      <c r="B23" s="16" t="n">
        <v>7</v>
      </c>
      <c r="C23" s="19" t="str">
        <f aca="false">IF(B23&gt;$F$8,"—",INDEX($C$41:$L$44,MATCH($F$7,$B$41:$B$44,0),B23))</f>
        <v>—</v>
      </c>
      <c r="D23" s="19"/>
      <c r="E23" s="16" t="str">
        <f aca="false">IF(B23&gt;$F$8,"—",IF(LEFT(C23,5)="FINAL","end_turn",IF(AND($F$7="ConfirmLoop",B23=$C$10),"CAP HIT -&gt; fallback","tool_use")))</f>
        <v>—</v>
      </c>
      <c r="F23" s="16"/>
    </row>
    <row r="24" customFormat="false" ht="15" hidden="false" customHeight="false" outlineLevel="0" collapsed="false">
      <c r="B24" s="16" t="n">
        <v>8</v>
      </c>
      <c r="C24" s="19" t="str">
        <f aca="false">IF(B24&gt;$F$8,"—",INDEX($C$41:$L$44,MATCH($F$7,$B$41:$B$44,0),B24))</f>
        <v>—</v>
      </c>
      <c r="D24" s="19"/>
      <c r="E24" s="16" t="str">
        <f aca="false">IF(B24&gt;$F$8,"—",IF(LEFT(C24,5)="FINAL","end_turn",IF(AND($F$7="ConfirmLoop",B24=$C$10),"CAP HIT -&gt; fallback","tool_use")))</f>
        <v>—</v>
      </c>
      <c r="F24" s="16"/>
    </row>
    <row r="25" customFormat="false" ht="15" hidden="false" customHeight="false" outlineLevel="0" collapsed="false">
      <c r="B25" s="16" t="n">
        <v>9</v>
      </c>
      <c r="C25" s="19" t="str">
        <f aca="false">IF(B25&gt;$F$8,"—",INDEX($C$41:$L$44,MATCH($F$7,$B$41:$B$44,0),B25))</f>
        <v>—</v>
      </c>
      <c r="D25" s="19"/>
      <c r="E25" s="16" t="str">
        <f aca="false">IF(B25&gt;$F$8,"—",IF(LEFT(C25,5)="FINAL","end_turn",IF(AND($F$7="ConfirmLoop",B25=$C$10),"CAP HIT -&gt; fallback","tool_use")))</f>
        <v>—</v>
      </c>
      <c r="F25" s="16"/>
    </row>
    <row r="26" customFormat="false" ht="15" hidden="false" customHeight="false" outlineLevel="0" collapsed="false">
      <c r="B26" s="16" t="n">
        <v>10</v>
      </c>
      <c r="C26" s="19" t="str">
        <f aca="false">IF(B26&gt;$F$8,"—",INDEX($C$41:$L$44,MATCH($F$7,$B$41:$B$44,0),B26))</f>
        <v>—</v>
      </c>
      <c r="D26" s="19"/>
      <c r="E26" s="16" t="str">
        <f aca="false">IF(B26&gt;$F$8,"—",IF(LEFT(C26,5)="FINAL","end_turn",IF(AND($F$7="ConfirmLoop",B26=$C$10),"CAP HIT -&gt; fallback","tool_use")))</f>
        <v>—</v>
      </c>
      <c r="F26" s="16"/>
    </row>
    <row r="40" customFormat="false" ht="15" hidden="true" customHeight="false" outlineLevel="0" collapsed="false"/>
    <row r="41" customFormat="false" ht="15" hidden="true" customHeight="false" outlineLevel="0" collapsed="false">
      <c r="B41" s="1" t="s">
        <v>97</v>
      </c>
      <c r="C41" s="1" t="s">
        <v>98</v>
      </c>
      <c r="D41" s="1" t="s">
        <v>99</v>
      </c>
    </row>
    <row r="42" customFormat="false" ht="15" hidden="true" customHeight="false" outlineLevel="0" collapsed="false">
      <c r="B42" s="1" t="s">
        <v>85</v>
      </c>
      <c r="C42" s="1" t="s">
        <v>98</v>
      </c>
      <c r="D42" s="1" t="s">
        <v>100</v>
      </c>
      <c r="E42" s="1" t="s">
        <v>101</v>
      </c>
      <c r="F42" s="1" t="s">
        <v>102</v>
      </c>
    </row>
    <row r="43" customFormat="false" ht="15" hidden="true" customHeight="false" outlineLevel="0" collapsed="false">
      <c r="B43" s="1" t="s">
        <v>103</v>
      </c>
      <c r="C43" s="1" t="s">
        <v>104</v>
      </c>
      <c r="D43" s="1" t="s">
        <v>105</v>
      </c>
    </row>
    <row r="44" customFormat="false" ht="15" hidden="true" customHeight="false" outlineLevel="0" collapsed="false">
      <c r="B44" s="1" t="s">
        <v>106</v>
      </c>
      <c r="C44" s="1" t="s">
        <v>98</v>
      </c>
      <c r="D44" s="1" t="s">
        <v>98</v>
      </c>
      <c r="E44" s="1" t="s">
        <v>98</v>
      </c>
      <c r="F44" s="1" t="s">
        <v>98</v>
      </c>
      <c r="G44" s="1" t="s">
        <v>98</v>
      </c>
      <c r="H44" s="1" t="s">
        <v>98</v>
      </c>
      <c r="I44" s="1" t="s">
        <v>98</v>
      </c>
      <c r="J44" s="1" t="s">
        <v>98</v>
      </c>
      <c r="K44" s="1" t="s">
        <v>98</v>
      </c>
      <c r="L44" s="1" t="s">
        <v>98</v>
      </c>
    </row>
  </sheetData>
  <mergeCells count="23">
    <mergeCell ref="C12:F12"/>
    <mergeCell ref="C13:F14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</mergeCells>
  <conditionalFormatting sqref="C12:F12">
    <cfRule type="expression" priority="2" aboveAverage="0" equalAverage="0" bottom="0" percent="0" rank="0" text="" dxfId="2">
      <formula>ISNUMBER(SEARCH("RUNAWAY",C12))</formula>
    </cfRule>
    <cfRule type="expression" priority="3" aboveAverage="0" equalAverage="0" bottom="0" percent="0" rank="0" text="" dxfId="3">
      <formula>ISNUMBER(SEARCH("Clean exit",C12))</formula>
    </cfRule>
    <cfRule type="expression" priority="4" aboveAverage="0" equalAverage="0" bottom="0" percent="0" rank="0" text="" dxfId="4">
      <formula>ISNUMBER(SEARCH("Hit the cap",C12))</formula>
    </cfRule>
  </conditionalFormatting>
  <conditionalFormatting sqref="E17:F17">
    <cfRule type="expression" priority="5" aboveAverage="0" equalAverage="0" bottom="0" percent="0" rank="0" text="" dxfId="2">
      <formula>ISNUMBER(SEARCH("CAP HIT",E17))</formula>
    </cfRule>
    <cfRule type="expression" priority="6" aboveAverage="0" equalAverage="0" bottom="0" percent="0" rank="0" text="" dxfId="3">
      <formula>ISNUMBER(SEARCH("end_turn",E17))</formula>
    </cfRule>
  </conditionalFormatting>
  <conditionalFormatting sqref="E18:F18">
    <cfRule type="expression" priority="7" aboveAverage="0" equalAverage="0" bottom="0" percent="0" rank="0" text="" dxfId="2">
      <formula>ISNUMBER(SEARCH("CAP HIT",E18))</formula>
    </cfRule>
    <cfRule type="expression" priority="8" aboveAverage="0" equalAverage="0" bottom="0" percent="0" rank="0" text="" dxfId="3">
      <formula>ISNUMBER(SEARCH("end_turn",E18))</formula>
    </cfRule>
  </conditionalFormatting>
  <conditionalFormatting sqref="E19:F19">
    <cfRule type="expression" priority="9" aboveAverage="0" equalAverage="0" bottom="0" percent="0" rank="0" text="" dxfId="2">
      <formula>ISNUMBER(SEARCH("CAP HIT",E19))</formula>
    </cfRule>
    <cfRule type="expression" priority="10" aboveAverage="0" equalAverage="0" bottom="0" percent="0" rank="0" text="" dxfId="3">
      <formula>ISNUMBER(SEARCH("end_turn",E19))</formula>
    </cfRule>
  </conditionalFormatting>
  <conditionalFormatting sqref="E20:F20">
    <cfRule type="expression" priority="11" aboveAverage="0" equalAverage="0" bottom="0" percent="0" rank="0" text="" dxfId="2">
      <formula>ISNUMBER(SEARCH("CAP HIT",E20))</formula>
    </cfRule>
    <cfRule type="expression" priority="12" aboveAverage="0" equalAverage="0" bottom="0" percent="0" rank="0" text="" dxfId="3">
      <formula>ISNUMBER(SEARCH("end_turn",E20))</formula>
    </cfRule>
  </conditionalFormatting>
  <conditionalFormatting sqref="E21:F21">
    <cfRule type="expression" priority="13" aboveAverage="0" equalAverage="0" bottom="0" percent="0" rank="0" text="" dxfId="2">
      <formula>ISNUMBER(SEARCH("CAP HIT",E21))</formula>
    </cfRule>
    <cfRule type="expression" priority="14" aboveAverage="0" equalAverage="0" bottom="0" percent="0" rank="0" text="" dxfId="3">
      <formula>ISNUMBER(SEARCH("end_turn",E21))</formula>
    </cfRule>
  </conditionalFormatting>
  <conditionalFormatting sqref="E22:F22">
    <cfRule type="expression" priority="15" aboveAverage="0" equalAverage="0" bottom="0" percent="0" rank="0" text="" dxfId="2">
      <formula>ISNUMBER(SEARCH("CAP HIT",E22))</formula>
    </cfRule>
    <cfRule type="expression" priority="16" aboveAverage="0" equalAverage="0" bottom="0" percent="0" rank="0" text="" dxfId="3">
      <formula>ISNUMBER(SEARCH("end_turn",E22))</formula>
    </cfRule>
  </conditionalFormatting>
  <conditionalFormatting sqref="E23:F23">
    <cfRule type="expression" priority="17" aboveAverage="0" equalAverage="0" bottom="0" percent="0" rank="0" text="" dxfId="2">
      <formula>ISNUMBER(SEARCH("CAP HIT",E23))</formula>
    </cfRule>
    <cfRule type="expression" priority="18" aboveAverage="0" equalAverage="0" bottom="0" percent="0" rank="0" text="" dxfId="3">
      <formula>ISNUMBER(SEARCH("end_turn",E23))</formula>
    </cfRule>
  </conditionalFormatting>
  <conditionalFormatting sqref="E24:F24">
    <cfRule type="expression" priority="19" aboveAverage="0" equalAverage="0" bottom="0" percent="0" rank="0" text="" dxfId="2">
      <formula>ISNUMBER(SEARCH("CAP HIT",E24))</formula>
    </cfRule>
    <cfRule type="expression" priority="20" aboveAverage="0" equalAverage="0" bottom="0" percent="0" rank="0" text="" dxfId="3">
      <formula>ISNUMBER(SEARCH("end_turn",E24))</formula>
    </cfRule>
  </conditionalFormatting>
  <conditionalFormatting sqref="E25:F25">
    <cfRule type="expression" priority="21" aboveAverage="0" equalAverage="0" bottom="0" percent="0" rank="0" text="" dxfId="2">
      <formula>ISNUMBER(SEARCH("CAP HIT",E25))</formula>
    </cfRule>
    <cfRule type="expression" priority="22" aboveAverage="0" equalAverage="0" bottom="0" percent="0" rank="0" text="" dxfId="3">
      <formula>ISNUMBER(SEARCH("end_turn",E25))</formula>
    </cfRule>
  </conditionalFormatting>
  <conditionalFormatting sqref="E26:F26">
    <cfRule type="expression" priority="23" aboveAverage="0" equalAverage="0" bottom="0" percent="0" rank="0" text="" dxfId="2">
      <formula>ISNUMBER(SEARCH("CAP HIT",E26))</formula>
    </cfRule>
    <cfRule type="expression" priority="24" aboveAverage="0" equalAverage="0" bottom="0" percent="0" rank="0" text="" dxfId="3">
      <formula>ISNUMBER(SEARCH("end_turn",E26))</formula>
    </cfRule>
  </conditionalFormatting>
  <dataValidations count="4">
    <dataValidation allowBlank="false" errorStyle="stop" operator="between" showDropDown="false" showErrorMessage="false" showInputMessage="false" sqref="C7" type="list">
      <formula1>"Simple status,Disruption + rebook,Confirm option-1"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"1 (greedy),&gt;1 (varied)"</formula1>
      <formula2>0</formula2>
    </dataValidation>
    <dataValidation allowBlank="false" errorStyle="stop" operator="between" showDropDown="false" showErrorMessage="false" showInputMessage="false" sqref="C10" type="list">
      <formula1>"3,5,8,10"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3"/>
    <col collapsed="false" customWidth="true" hidden="true" outlineLevel="0" max="6" min="6" style="1" width="24"/>
  </cols>
  <sheetData>
    <row r="2" customFormat="false" ht="15" hidden="false" customHeight="false" outlineLevel="0" collapsed="false">
      <c r="B2" s="2" t="s">
        <v>107</v>
      </c>
    </row>
    <row r="3" customFormat="false" ht="19.7" hidden="false" customHeight="false" outlineLevel="0" collapsed="false">
      <c r="B3" s="3" t="s">
        <v>108</v>
      </c>
    </row>
    <row r="5" customFormat="false" ht="15" hidden="false" customHeight="false" outlineLevel="0" collapsed="false">
      <c r="B5" s="4" t="s">
        <v>109</v>
      </c>
    </row>
    <row r="7" customFormat="false" ht="108.95" hidden="false" customHeight="false" outlineLevel="0" collapsed="false">
      <c r="A7" s="9" t="s">
        <v>110</v>
      </c>
      <c r="B7" s="9" t="s">
        <v>111</v>
      </c>
      <c r="C7" s="9" t="s">
        <v>112</v>
      </c>
    </row>
    <row r="8" customFormat="false" ht="15" hidden="false" customHeight="false" outlineLevel="0" collapsed="false">
      <c r="B8" s="15" t="s">
        <v>113</v>
      </c>
      <c r="C8" s="6"/>
      <c r="D8" s="16" t="str">
        <f aca="false">IF(C8="","",IF(C8=F8,"✓ correct","✗ rethink"))</f>
        <v/>
      </c>
      <c r="F8" s="17" t="s">
        <v>79</v>
      </c>
    </row>
    <row r="9" customFormat="false" ht="15" hidden="false" customHeight="false" outlineLevel="0" collapsed="false">
      <c r="B9" s="15" t="s">
        <v>114</v>
      </c>
      <c r="C9" s="6"/>
      <c r="D9" s="16" t="str">
        <f aca="false">IF(C9="","",IF(C9=F9,"✓ correct","✗ rethink"))</f>
        <v/>
      </c>
      <c r="F9" s="17" t="s">
        <v>79</v>
      </c>
    </row>
    <row r="10" customFormat="false" ht="15" hidden="false" customHeight="false" outlineLevel="0" collapsed="false">
      <c r="B10" s="15" t="s">
        <v>115</v>
      </c>
      <c r="C10" s="6"/>
      <c r="D10" s="16" t="str">
        <f aca="false">IF(C10="","",IF(C10=F10,"✓ correct","✗ rethink"))</f>
        <v/>
      </c>
      <c r="F10" s="17" t="s">
        <v>116</v>
      </c>
    </row>
    <row r="11" customFormat="false" ht="15" hidden="false" customHeight="false" outlineLevel="0" collapsed="false">
      <c r="B11" s="15" t="s">
        <v>117</v>
      </c>
      <c r="C11" s="6"/>
      <c r="D11" s="16" t="str">
        <f aca="false">IF(C11="","",IF(C11=F11,"✓ correct","✗ rethink"))</f>
        <v/>
      </c>
      <c r="F11" s="17" t="s">
        <v>116</v>
      </c>
    </row>
    <row r="12" customFormat="false" ht="15" hidden="false" customHeight="false" outlineLevel="0" collapsed="false">
      <c r="B12" s="15" t="s">
        <v>118</v>
      </c>
      <c r="C12" s="6"/>
      <c r="D12" s="16" t="str">
        <f aca="false">IF(C12="","",IF(C12=F12,"✓ correct","✗ rethink"))</f>
        <v/>
      </c>
      <c r="F12" s="17" t="s">
        <v>79</v>
      </c>
    </row>
    <row r="13" customFormat="false" ht="15" hidden="false" customHeight="false" outlineLevel="0" collapsed="false">
      <c r="B13" s="15" t="s">
        <v>119</v>
      </c>
      <c r="C13" s="6"/>
      <c r="D13" s="16" t="str">
        <f aca="false">IF(C13="","",IF(C13=F13,"✓ correct","✗ rethink"))</f>
        <v/>
      </c>
      <c r="F13" s="17" t="s">
        <v>120</v>
      </c>
    </row>
    <row r="14" customFormat="false" ht="15" hidden="false" customHeight="false" outlineLevel="0" collapsed="false">
      <c r="B14" s="15" t="s">
        <v>121</v>
      </c>
      <c r="C14" s="6"/>
      <c r="D14" s="16" t="str">
        <f aca="false">IF(C14="","",IF(C14=F14,"✓ correct","✗ rethink"))</f>
        <v/>
      </c>
      <c r="F14" s="17" t="s">
        <v>79</v>
      </c>
    </row>
    <row r="15" customFormat="false" ht="15" hidden="false" customHeight="false" outlineLevel="0" collapsed="false">
      <c r="B15" s="15" t="s">
        <v>122</v>
      </c>
      <c r="C15" s="6"/>
      <c r="D15" s="16" t="str">
        <f aca="false">IF(C15="","",IF(C15=F15,"✓ correct","✗ rethink"))</f>
        <v/>
      </c>
      <c r="F15" s="17" t="s">
        <v>79</v>
      </c>
    </row>
    <row r="17" customFormat="false" ht="15" hidden="false" customHeight="false" outlineLevel="0" collapsed="false">
      <c r="B17" s="12" t="s">
        <v>123</v>
      </c>
      <c r="C17" s="13" t="str">
        <f aca="false">COUNTIF(D8:D15,"✓ correct")&amp;" / 8 correct"</f>
        <v>0 / 8 correct</v>
      </c>
    </row>
    <row r="18" customFormat="false" ht="15" hidden="false" customHeight="false" outlineLevel="0" collapsed="false">
      <c r="C18" s="14" t="str">
        <f aca="false">IF(COUNTIF(D8:D15,"✓ correct")=8,"The model authored ONLY rawResponse (and its surfaced rationale). Everything else is plumbing or your code.","Keep going — recall the one rule: the model writes only what it literally generated.")</f>
        <v>Keep going — recall the one rule: the model writes only what it literally generated.</v>
      </c>
      <c r="D18" s="14"/>
      <c r="E18" s="14"/>
      <c r="F18" s="14"/>
    </row>
    <row r="19" customFormat="false" ht="15" hidden="false" customHeight="false" outlineLevel="0" collapsed="false">
      <c r="C19" s="14"/>
      <c r="D19" s="14"/>
      <c r="E19" s="14"/>
      <c r="F19" s="14"/>
    </row>
  </sheetData>
  <mergeCells count="1">
    <mergeCell ref="C18:F19"/>
  </mergeCells>
  <conditionalFormatting sqref="D8">
    <cfRule type="expression" priority="2" aboveAverage="0" equalAverage="0" bottom="0" percent="0" rank="0" text="" dxfId="3">
      <formula>ISNUMBER(SEARCH("correct",D8))</formula>
    </cfRule>
    <cfRule type="expression" priority="3" aboveAverage="0" equalAverage="0" bottom="0" percent="0" rank="0" text="" dxfId="2">
      <formula>ISNUMBER(SEARCH("rethink",D8))</formula>
    </cfRule>
  </conditionalFormatting>
  <conditionalFormatting sqref="D9">
    <cfRule type="expression" priority="4" aboveAverage="0" equalAverage="0" bottom="0" percent="0" rank="0" text="" dxfId="3">
      <formula>ISNUMBER(SEARCH("correct",D9))</formula>
    </cfRule>
    <cfRule type="expression" priority="5" aboveAverage="0" equalAverage="0" bottom="0" percent="0" rank="0" text="" dxfId="2">
      <formula>ISNUMBER(SEARCH("rethink",D9))</formula>
    </cfRule>
  </conditionalFormatting>
  <conditionalFormatting sqref="D10">
    <cfRule type="expression" priority="6" aboveAverage="0" equalAverage="0" bottom="0" percent="0" rank="0" text="" dxfId="3">
      <formula>ISNUMBER(SEARCH("correct",D10))</formula>
    </cfRule>
    <cfRule type="expression" priority="7" aboveAverage="0" equalAverage="0" bottom="0" percent="0" rank="0" text="" dxfId="2">
      <formula>ISNUMBER(SEARCH("rethink",D10))</formula>
    </cfRule>
  </conditionalFormatting>
  <conditionalFormatting sqref="D11">
    <cfRule type="expression" priority="8" aboveAverage="0" equalAverage="0" bottom="0" percent="0" rank="0" text="" dxfId="3">
      <formula>ISNUMBER(SEARCH("correct",D11))</formula>
    </cfRule>
    <cfRule type="expression" priority="9" aboveAverage="0" equalAverage="0" bottom="0" percent="0" rank="0" text="" dxfId="2">
      <formula>ISNUMBER(SEARCH("rethink",D11))</formula>
    </cfRule>
  </conditionalFormatting>
  <conditionalFormatting sqref="D12">
    <cfRule type="expression" priority="10" aboveAverage="0" equalAverage="0" bottom="0" percent="0" rank="0" text="" dxfId="3">
      <formula>ISNUMBER(SEARCH("correct",D12))</formula>
    </cfRule>
    <cfRule type="expression" priority="11" aboveAverage="0" equalAverage="0" bottom="0" percent="0" rank="0" text="" dxfId="2">
      <formula>ISNUMBER(SEARCH("rethink",D12))</formula>
    </cfRule>
  </conditionalFormatting>
  <conditionalFormatting sqref="D13">
    <cfRule type="expression" priority="12" aboveAverage="0" equalAverage="0" bottom="0" percent="0" rank="0" text="" dxfId="3">
      <formula>ISNUMBER(SEARCH("correct",D13))</formula>
    </cfRule>
    <cfRule type="expression" priority="13" aboveAverage="0" equalAverage="0" bottom="0" percent="0" rank="0" text="" dxfId="2">
      <formula>ISNUMBER(SEARCH("rethink",D13))</formula>
    </cfRule>
  </conditionalFormatting>
  <conditionalFormatting sqref="D14">
    <cfRule type="expression" priority="14" aboveAverage="0" equalAverage="0" bottom="0" percent="0" rank="0" text="" dxfId="3">
      <formula>ISNUMBER(SEARCH("correct",D14))</formula>
    </cfRule>
    <cfRule type="expression" priority="15" aboveAverage="0" equalAverage="0" bottom="0" percent="0" rank="0" text="" dxfId="2">
      <formula>ISNUMBER(SEARCH("rethink",D14))</formula>
    </cfRule>
  </conditionalFormatting>
  <conditionalFormatting sqref="D15">
    <cfRule type="expression" priority="16" aboveAverage="0" equalAverage="0" bottom="0" percent="0" rank="0" text="" dxfId="3">
      <formula>ISNUMBER(SEARCH("correct",D15))</formula>
    </cfRule>
    <cfRule type="expression" priority="17" aboveAverage="0" equalAverage="0" bottom="0" percent="0" rank="0" text="" dxfId="2">
      <formula>ISNUMBER(SEARCH("rethink",D15))</formula>
    </cfRule>
  </conditionalFormatting>
  <dataValidations count="8">
    <dataValidation allowBlank="false" errorStyle="stop" operator="between" showDropDown="false" showErrorMessage="false" showInputMessage="false" sqref="C8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9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0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1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2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3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4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5" type="list">
      <formula1>"Model,Orchestrator,Your Lambda"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26"/>
    <col collapsed="false" customWidth="true" hidden="false" outlineLevel="0" max="6" min="4" style="1" width="30"/>
  </cols>
  <sheetData>
    <row r="2" customFormat="false" ht="15" hidden="false" customHeight="false" outlineLevel="0" collapsed="false">
      <c r="B2" s="2" t="s">
        <v>124</v>
      </c>
    </row>
    <row r="3" customFormat="false" ht="19.7" hidden="false" customHeight="false" outlineLevel="0" collapsed="false">
      <c r="B3" s="3" t="s">
        <v>125</v>
      </c>
    </row>
    <row r="5" customFormat="false" ht="15" hidden="false" customHeight="false" outlineLevel="0" collapsed="false">
      <c r="B5" s="4" t="s">
        <v>126</v>
      </c>
    </row>
    <row r="7" customFormat="false" ht="15" hidden="false" customHeight="false" outlineLevel="0" collapsed="false">
      <c r="B7" s="5" t="s">
        <v>127</v>
      </c>
      <c r="C7" s="6" t="s">
        <v>128</v>
      </c>
    </row>
    <row r="8" customFormat="false" ht="15" hidden="false" customHeight="false" outlineLevel="0" collapsed="false">
      <c r="B8" s="5" t="s">
        <v>129</v>
      </c>
      <c r="C8" s="6" t="s">
        <v>26</v>
      </c>
    </row>
    <row r="9" customFormat="false" ht="15" hidden="false" customHeight="false" outlineLevel="0" collapsed="false">
      <c r="B9" s="5" t="s">
        <v>130</v>
      </c>
      <c r="C9" s="6" t="s">
        <v>26</v>
      </c>
    </row>
    <row r="10" customFormat="false" ht="15" hidden="false" customHeight="false" outlineLevel="0" collapsed="false">
      <c r="B10" s="5" t="s">
        <v>131</v>
      </c>
      <c r="C10" s="6" t="s">
        <v>26</v>
      </c>
    </row>
    <row r="12" customFormat="false" ht="15" hidden="false" customHeight="false" outlineLevel="0" collapsed="false">
      <c r="B12" s="12" t="s">
        <v>132</v>
      </c>
      <c r="C12" s="22" t="str">
        <f aca="false">IF(AND(C8="No",C9="No",C10="No"),"Agent Builder  (managed — AWS runs the loop)",IF(C9="Yes","AgentCore  (host any framework; often Strands on AgentCore)","Strands SDK  (your code owns the loop)"))</f>
        <v>Agent Builder  (managed — AWS runs the loop)</v>
      </c>
      <c r="D12" s="22"/>
      <c r="E12" s="22"/>
      <c r="F12" s="22"/>
    </row>
    <row r="13" customFormat="false" ht="15" hidden="false" customHeight="false" outlineLevel="0" collapsed="false">
      <c r="C13" s="14" t="str">
        <f aca="false">IF(AND(C8="No",C9="No",C10="No"),"Bounded task, standard RAG + tools, fastest path. Trade-off: limited loop control.",IF(C9="Yes","Production runtime: isolation, memory, identity, observability for any framework.","Open-source, model-driven; full control of the loop and tools in your process."))</f>
        <v>Bounded task, standard RAG + tools, fastest path. Trade-off: limited loop control.</v>
      </c>
      <c r="D13" s="14"/>
      <c r="E13" s="14"/>
      <c r="F13" s="14"/>
    </row>
    <row r="14" customFormat="false" ht="15" hidden="false" customHeight="false" outlineLevel="0" collapsed="false">
      <c r="C14" s="14"/>
      <c r="D14" s="14"/>
      <c r="E14" s="14"/>
      <c r="F14" s="14"/>
    </row>
    <row r="16" customFormat="false" ht="15" hidden="false" customHeight="false" outlineLevel="0" collapsed="false">
      <c r="B16" s="5" t="s">
        <v>133</v>
      </c>
    </row>
    <row r="17" customFormat="false" ht="15" hidden="false" customHeight="false" outlineLevel="0" collapsed="false">
      <c r="A17" s="9"/>
      <c r="B17" s="9" t="s">
        <v>134</v>
      </c>
      <c r="C17" s="9" t="s">
        <v>135</v>
      </c>
      <c r="D17" s="9" t="s">
        <v>136</v>
      </c>
    </row>
    <row r="18" customFormat="false" ht="25.5" hidden="false" customHeight="true" outlineLevel="0" collapsed="false">
      <c r="B18" s="10" t="s">
        <v>137</v>
      </c>
      <c r="C18" s="19" t="s">
        <v>138</v>
      </c>
      <c r="D18" s="19" t="s">
        <v>139</v>
      </c>
      <c r="E18" s="19" t="s">
        <v>140</v>
      </c>
    </row>
    <row r="19" customFormat="false" ht="25.5" hidden="false" customHeight="true" outlineLevel="0" collapsed="false">
      <c r="B19" s="10" t="s">
        <v>141</v>
      </c>
      <c r="C19" s="19" t="s">
        <v>142</v>
      </c>
      <c r="D19" s="19" t="s">
        <v>143</v>
      </c>
      <c r="E19" s="19" t="s">
        <v>144</v>
      </c>
    </row>
    <row r="20" customFormat="false" ht="25.5" hidden="false" customHeight="true" outlineLevel="0" collapsed="false">
      <c r="B20" s="10" t="s">
        <v>145</v>
      </c>
      <c r="C20" s="19" t="s">
        <v>146</v>
      </c>
      <c r="D20" s="19" t="s">
        <v>147</v>
      </c>
      <c r="E20" s="19" t="s">
        <v>148</v>
      </c>
    </row>
    <row r="21" customFormat="false" ht="25.5" hidden="false" customHeight="true" outlineLevel="0" collapsed="false">
      <c r="B21" s="10" t="s">
        <v>149</v>
      </c>
      <c r="C21" s="19" t="s">
        <v>150</v>
      </c>
      <c r="D21" s="19" t="s">
        <v>151</v>
      </c>
      <c r="E21" s="19" t="s">
        <v>152</v>
      </c>
    </row>
    <row r="22" customFormat="false" ht="25.5" hidden="false" customHeight="true" outlineLevel="0" collapsed="false">
      <c r="B22" s="10" t="s">
        <v>153</v>
      </c>
      <c r="C22" s="19" t="s">
        <v>154</v>
      </c>
      <c r="D22" s="19" t="s">
        <v>155</v>
      </c>
      <c r="E22" s="19" t="s">
        <v>156</v>
      </c>
    </row>
  </sheetData>
  <mergeCells count="2">
    <mergeCell ref="C12:F12"/>
    <mergeCell ref="C13:F14"/>
  </mergeCells>
  <conditionalFormatting sqref="C12:F12">
    <cfRule type="expression" priority="2" aboveAverage="0" equalAverage="0" bottom="0" percent="0" rank="0" text="" dxfId="0">
      <formula>ISNUMBER(SEARCH("Agent Builder",C12))</formula>
    </cfRule>
    <cfRule type="expression" priority="3" aboveAverage="0" equalAverage="0" bottom="0" percent="0" rank="0" text="" dxfId="3">
      <formula>ISNUMBER(SEARCH("Strands",C12))</formula>
    </cfRule>
    <cfRule type="expression" priority="4" aboveAverage="0" equalAverage="0" bottom="0" percent="0" rank="0" text="" dxfId="4">
      <formula>ISNUMBER(SEARCH("AgentCore",C12))</formula>
    </cfRule>
  </conditionalFormatting>
  <dataValidations count="4">
    <dataValidation allowBlank="false" errorStyle="stop" operator="between" showDropDown="false" showErrorMessage="false" showInputMessage="false" sqref="C7" type="list">
      <formula1>"High,Medium,Low"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62"/>
  </cols>
  <sheetData>
    <row r="2" customFormat="false" ht="15" hidden="false" customHeight="false" outlineLevel="0" collapsed="false">
      <c r="B2" s="2" t="s">
        <v>157</v>
      </c>
    </row>
    <row r="3" customFormat="false" ht="19.7" hidden="false" customHeight="false" outlineLevel="0" collapsed="false">
      <c r="B3" s="3" t="s">
        <v>158</v>
      </c>
    </row>
    <row r="5" customFormat="false" ht="15" hidden="false" customHeight="false" outlineLevel="0" collapsed="false">
      <c r="B5" s="4" t="s">
        <v>159</v>
      </c>
    </row>
    <row r="7" customFormat="false" ht="15" hidden="false" customHeight="false" outlineLevel="0" collapsed="false">
      <c r="B7" s="5" t="s">
        <v>160</v>
      </c>
      <c r="C7" s="6" t="s">
        <v>161</v>
      </c>
      <c r="D7" s="24" t="s">
        <v>162</v>
      </c>
    </row>
    <row r="8" customFormat="false" ht="15" hidden="false" customHeight="false" outlineLevel="0" collapsed="false">
      <c r="B8" s="5" t="s">
        <v>163</v>
      </c>
      <c r="C8" s="25" t="s">
        <v>164</v>
      </c>
      <c r="D8" s="24" t="s">
        <v>165</v>
      </c>
    </row>
    <row r="9" customFormat="false" ht="15" hidden="false" customHeight="false" outlineLevel="0" collapsed="false">
      <c r="B9" s="5" t="s">
        <v>166</v>
      </c>
      <c r="C9" s="6" t="s">
        <v>161</v>
      </c>
      <c r="D9" s="24" t="s">
        <v>167</v>
      </c>
    </row>
    <row r="10" customFormat="false" ht="15" hidden="false" customHeight="false" outlineLevel="0" collapsed="false">
      <c r="B10" s="5" t="s">
        <v>168</v>
      </c>
      <c r="C10" s="6" t="s">
        <v>161</v>
      </c>
      <c r="D10" s="24" t="s">
        <v>169</v>
      </c>
    </row>
    <row r="12" customFormat="false" ht="15" hidden="false" customHeight="false" outlineLevel="0" collapsed="false">
      <c r="B12" s="26" t="s">
        <v>170</v>
      </c>
      <c r="C12" s="27" t="str">
        <f aca="false">_xlfn.TEXTJOIN("   -&gt;   ",TRUE(),IF(C7="On","1 Pre-processing",""),"2 Orchestration (loops)",IF(C9="On","3 KB response gen",""),IF(C10="On","4 Post-processing",""))</f>
        <v>2 Orchestration (loops)</v>
      </c>
      <c r="D12" s="27"/>
    </row>
    <row r="13" customFormat="false" ht="15" hidden="false" customHeight="false" outlineLevel="0" collapsed="false">
      <c r="C13" s="27"/>
      <c r="D13" s="27"/>
    </row>
    <row r="15" customFormat="false" ht="15" hidden="false" customHeight="false" outlineLevel="0" collapsed="false">
      <c r="B15" s="5" t="s">
        <v>171</v>
      </c>
      <c r="C15" s="8" t="n">
        <f aca="false">2+ (C7="On")+(C9="On")+(C10="On")</f>
        <v>2</v>
      </c>
    </row>
    <row r="16" customFormat="false" ht="15" hidden="false" customHeight="false" outlineLevel="0" collapsed="false">
      <c r="C16" s="14" t="str">
        <f aca="false">IF(AND(C7="Off",C9="Off",C10="Off"),"Leanest setup: pure ReAct. Add stages only when you need input screening, RAG, or output polish — each adds latency.","All four are configurable via promptOverrideConfiguration.")</f>
        <v>Leanest setup: pure ReAct. Add stages only when you need input screening, RAG, or output polish — each adds latency.</v>
      </c>
      <c r="D16" s="14"/>
    </row>
    <row r="17" customFormat="false" ht="15" hidden="false" customHeight="false" outlineLevel="0" collapsed="false">
      <c r="C17" s="14"/>
      <c r="D17" s="14"/>
    </row>
  </sheetData>
  <mergeCells count="2">
    <mergeCell ref="C12:D13"/>
    <mergeCell ref="C16:D17"/>
  </mergeCells>
  <dataValidations count="3">
    <dataValidation allowBlank="false" errorStyle="stop" operator="between" showDropDown="false" showErrorMessage="false" showInputMessage="false" sqref="C7" type="list">
      <formula1>"On,Off"</formula1>
      <formula2>0</formula2>
    </dataValidation>
    <dataValidation allowBlank="false" errorStyle="stop" operator="between" showDropDown="false" showErrorMessage="false" showInputMessage="false" sqref="C9" type="list">
      <formula1>"On,Off"</formula1>
      <formula2>0</formula2>
    </dataValidation>
    <dataValidation allowBlank="false" errorStyle="stop" operator="between" showDropDown="false" showErrorMessage="false" showInputMessage="false" sqref="C10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2026-06-03T02:05:56Z</dcterms:created>
  <dc:creator>openpyxl</dc:creator>
  <dc:description/>
  <dc:language>en-US</dc:language>
  <cp:lastModifiedBy/>
  <dcterms:modified xsi:type="dcterms:W3CDTF">2026-06-03T02:05:57Z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